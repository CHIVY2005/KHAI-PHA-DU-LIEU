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STUDYYY\REPO\ff\learn-dm-chapters\chapter6\"/>
    </mc:Choice>
  </mc:AlternateContent>
  <xr:revisionPtr revIDLastSave="0" documentId="13_ncr:1_{902BBB81-1089-4563-AC09-43BFC493D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I6" i="3" l="1"/>
  <c r="H6" i="3"/>
  <c r="H101" i="3"/>
  <c r="I101" i="3" s="1"/>
  <c r="J101" i="3" s="1"/>
  <c r="H100" i="3"/>
  <c r="I100" i="3" s="1"/>
  <c r="J100" i="3" s="1"/>
  <c r="H99" i="3"/>
  <c r="I99" i="3" s="1"/>
  <c r="J99" i="3" s="1"/>
  <c r="H98" i="3"/>
  <c r="I98" i="3" s="1"/>
  <c r="J98" i="3" s="1"/>
  <c r="H97" i="3"/>
  <c r="I97" i="3" s="1"/>
  <c r="J97" i="3" s="1"/>
  <c r="H92" i="3"/>
  <c r="I92" i="3" s="1"/>
  <c r="H91" i="3"/>
  <c r="I91" i="3" s="1"/>
  <c r="H90" i="3"/>
  <c r="I90" i="3" s="1"/>
  <c r="L90" i="3" s="1"/>
  <c r="M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L82" i="3"/>
  <c r="M82" i="3" s="1"/>
  <c r="H82" i="3"/>
  <c r="I82" i="3" s="1"/>
  <c r="J82" i="3" s="1"/>
  <c r="K82" i="3" s="1"/>
  <c r="H81" i="3"/>
  <c r="I81" i="3" s="1"/>
  <c r="H80" i="3"/>
  <c r="I80" i="3" s="1"/>
  <c r="H79" i="3"/>
  <c r="I79" i="3" s="1"/>
  <c r="J79" i="3" s="1"/>
  <c r="K79" i="3" s="1"/>
  <c r="H78" i="3"/>
  <c r="I78" i="3" s="1"/>
  <c r="H77" i="3"/>
  <c r="I77" i="3" s="1"/>
  <c r="H76" i="3"/>
  <c r="I76" i="3" s="1"/>
  <c r="H75" i="3"/>
  <c r="I75" i="3" s="1"/>
  <c r="H74" i="3"/>
  <c r="I74" i="3" s="1"/>
  <c r="L74" i="3" s="1"/>
  <c r="M74" i="3" s="1"/>
  <c r="H73" i="3"/>
  <c r="I73" i="3" s="1"/>
  <c r="H72" i="3"/>
  <c r="I72" i="3" s="1"/>
  <c r="H71" i="3"/>
  <c r="I71" i="3" s="1"/>
  <c r="J71" i="3" s="1"/>
  <c r="K71" i="3" s="1"/>
  <c r="H70" i="3"/>
  <c r="I70" i="3" s="1"/>
  <c r="H69" i="3"/>
  <c r="I69" i="3" s="1"/>
  <c r="H68" i="3"/>
  <c r="I68" i="3" s="1"/>
  <c r="H67" i="3"/>
  <c r="I67" i="3" s="1"/>
  <c r="H66" i="3"/>
  <c r="I66" i="3" s="1"/>
  <c r="J66" i="3" s="1"/>
  <c r="K66" i="3" s="1"/>
  <c r="H65" i="3"/>
  <c r="I65" i="3" s="1"/>
  <c r="H64" i="3"/>
  <c r="I64" i="3" s="1"/>
  <c r="H63" i="3"/>
  <c r="I63" i="3" s="1"/>
  <c r="J63" i="3" s="1"/>
  <c r="K63" i="3" s="1"/>
  <c r="H62" i="3"/>
  <c r="I62" i="3" s="1"/>
  <c r="H61" i="3"/>
  <c r="I61" i="3" s="1"/>
  <c r="H60" i="3"/>
  <c r="I60" i="3" s="1"/>
  <c r="H59" i="3"/>
  <c r="I59" i="3" s="1"/>
  <c r="H58" i="3"/>
  <c r="I58" i="3" s="1"/>
  <c r="J58" i="3" s="1"/>
  <c r="K58" i="3" s="1"/>
  <c r="H57" i="3"/>
  <c r="I57" i="3" s="1"/>
  <c r="H56" i="3"/>
  <c r="I56" i="3" s="1"/>
  <c r="H55" i="3"/>
  <c r="I55" i="3" s="1"/>
  <c r="J55" i="3" s="1"/>
  <c r="K55" i="3" s="1"/>
  <c r="H54" i="3"/>
  <c r="I54" i="3" s="1"/>
  <c r="H53" i="3"/>
  <c r="I53" i="3" s="1"/>
  <c r="H52" i="3"/>
  <c r="I52" i="3" s="1"/>
  <c r="H51" i="3"/>
  <c r="I51" i="3" s="1"/>
  <c r="H50" i="3"/>
  <c r="I50" i="3" s="1"/>
  <c r="J50" i="3" s="1"/>
  <c r="K50" i="3" s="1"/>
  <c r="H49" i="3"/>
  <c r="I49" i="3" s="1"/>
  <c r="H48" i="3"/>
  <c r="I48" i="3" s="1"/>
  <c r="H47" i="3"/>
  <c r="I47" i="3" s="1"/>
  <c r="J47" i="3" s="1"/>
  <c r="K47" i="3" s="1"/>
  <c r="H46" i="3"/>
  <c r="I46" i="3" s="1"/>
  <c r="H45" i="3"/>
  <c r="I45" i="3" s="1"/>
  <c r="H44" i="3"/>
  <c r="I44" i="3" s="1"/>
  <c r="H43" i="3"/>
  <c r="I43" i="3" s="1"/>
  <c r="H42" i="3"/>
  <c r="I42" i="3" s="1"/>
  <c r="L42" i="3" s="1"/>
  <c r="M42" i="3" s="1"/>
  <c r="H41" i="3"/>
  <c r="I41" i="3" s="1"/>
  <c r="H40" i="3"/>
  <c r="I40" i="3" s="1"/>
  <c r="H39" i="3"/>
  <c r="I39" i="3" s="1"/>
  <c r="J39" i="3" s="1"/>
  <c r="K39" i="3" s="1"/>
  <c r="H38" i="3"/>
  <c r="I38" i="3" s="1"/>
  <c r="H37" i="3"/>
  <c r="I37" i="3" s="1"/>
  <c r="H36" i="3"/>
  <c r="I36" i="3" s="1"/>
  <c r="H35" i="3"/>
  <c r="I35" i="3" s="1"/>
  <c r="H34" i="3"/>
  <c r="I34" i="3" s="1"/>
  <c r="J34" i="3" s="1"/>
  <c r="K34" i="3" s="1"/>
  <c r="H33" i="3"/>
  <c r="I33" i="3" s="1"/>
  <c r="H32" i="3"/>
  <c r="I32" i="3" s="1"/>
  <c r="H31" i="3"/>
  <c r="I31" i="3" s="1"/>
  <c r="J31" i="3" s="1"/>
  <c r="K31" i="3" s="1"/>
  <c r="H30" i="3"/>
  <c r="I30" i="3" s="1"/>
  <c r="H29" i="3"/>
  <c r="I29" i="3" s="1"/>
  <c r="H28" i="3"/>
  <c r="I28" i="3" s="1"/>
  <c r="H27" i="3"/>
  <c r="I27" i="3" s="1"/>
  <c r="H26" i="3"/>
  <c r="I26" i="3" s="1"/>
  <c r="L26" i="3" s="1"/>
  <c r="M26" i="3" s="1"/>
  <c r="H25" i="3"/>
  <c r="I25" i="3" s="1"/>
  <c r="H24" i="3"/>
  <c r="I24" i="3" s="1"/>
  <c r="H23" i="3"/>
  <c r="I23" i="3" s="1"/>
  <c r="J23" i="3" s="1"/>
  <c r="K23" i="3" s="1"/>
  <c r="H22" i="3"/>
  <c r="I22" i="3" s="1"/>
  <c r="H21" i="3"/>
  <c r="I21" i="3" s="1"/>
  <c r="H20" i="3"/>
  <c r="I20" i="3" s="1"/>
  <c r="H19" i="3"/>
  <c r="I19" i="3" s="1"/>
  <c r="L19" i="3" s="1"/>
  <c r="M19" i="3" s="1"/>
  <c r="H18" i="3"/>
  <c r="I18" i="3" s="1"/>
  <c r="L18" i="3" s="1"/>
  <c r="M18" i="3" s="1"/>
  <c r="H17" i="3"/>
  <c r="I17" i="3" s="1"/>
  <c r="H16" i="3"/>
  <c r="I16" i="3" s="1"/>
  <c r="L16" i="3" s="1"/>
  <c r="M16" i="3" s="1"/>
  <c r="H15" i="3"/>
  <c r="I15" i="3" s="1"/>
  <c r="H14" i="3"/>
  <c r="I14" i="3" s="1"/>
  <c r="L14" i="3" s="1"/>
  <c r="M14" i="3" s="1"/>
  <c r="H13" i="3"/>
  <c r="I13" i="3" s="1"/>
  <c r="L13" i="3" s="1"/>
  <c r="M13" i="3" s="1"/>
  <c r="H12" i="3"/>
  <c r="I12" i="3" s="1"/>
  <c r="H11" i="3"/>
  <c r="I11" i="3" s="1"/>
  <c r="H10" i="3"/>
  <c r="I10" i="3" s="1"/>
  <c r="L10" i="3" s="1"/>
  <c r="M10" i="3" s="1"/>
  <c r="H9" i="3"/>
  <c r="I9" i="3" s="1"/>
  <c r="H8" i="3"/>
  <c r="I8" i="3" s="1"/>
  <c r="H7" i="3"/>
  <c r="I7" i="3" s="1"/>
  <c r="G3" i="3"/>
  <c r="F3" i="3"/>
  <c r="E3" i="3"/>
  <c r="D3" i="3"/>
  <c r="C3" i="3"/>
  <c r="B3" i="3"/>
  <c r="L58" i="3" l="1"/>
  <c r="M58" i="3" s="1"/>
  <c r="L31" i="3"/>
  <c r="M31" i="3" s="1"/>
  <c r="L47" i="3"/>
  <c r="M47" i="3" s="1"/>
  <c r="J10" i="3"/>
  <c r="K10" i="3" s="1"/>
  <c r="L34" i="3"/>
  <c r="M34" i="3" s="1"/>
  <c r="L63" i="3"/>
  <c r="M63" i="3" s="1"/>
  <c r="L50" i="3"/>
  <c r="M50" i="3" s="1"/>
  <c r="L79" i="3"/>
  <c r="M79" i="3" s="1"/>
  <c r="L66" i="3"/>
  <c r="M66" i="3" s="1"/>
  <c r="L28" i="3"/>
  <c r="M28" i="3" s="1"/>
  <c r="J28" i="3"/>
  <c r="K28" i="3" s="1"/>
  <c r="L29" i="3"/>
  <c r="M29" i="3" s="1"/>
  <c r="J29" i="3"/>
  <c r="K29" i="3" s="1"/>
  <c r="L57" i="3"/>
  <c r="M57" i="3" s="1"/>
  <c r="J57" i="3"/>
  <c r="K57" i="3" s="1"/>
  <c r="L70" i="3"/>
  <c r="M70" i="3" s="1"/>
  <c r="J70" i="3"/>
  <c r="K70" i="3" s="1"/>
  <c r="L83" i="3"/>
  <c r="M83" i="3" s="1"/>
  <c r="J83" i="3"/>
  <c r="K83" i="3" s="1"/>
  <c r="L44" i="3"/>
  <c r="M44" i="3" s="1"/>
  <c r="J44" i="3"/>
  <c r="K44" i="3" s="1"/>
  <c r="L17" i="3"/>
  <c r="M17" i="3" s="1"/>
  <c r="J17" i="3"/>
  <c r="K17" i="3" s="1"/>
  <c r="L45" i="3"/>
  <c r="M45" i="3" s="1"/>
  <c r="J45" i="3"/>
  <c r="K45" i="3" s="1"/>
  <c r="J7" i="3"/>
  <c r="K7" i="3" s="1"/>
  <c r="L7" i="3"/>
  <c r="M7" i="3" s="1"/>
  <c r="J73" i="3"/>
  <c r="K73" i="3" s="1"/>
  <c r="L73" i="3"/>
  <c r="M73" i="3" s="1"/>
  <c r="L86" i="3"/>
  <c r="M86" i="3" s="1"/>
  <c r="J86" i="3"/>
  <c r="K86" i="3" s="1"/>
  <c r="L8" i="3"/>
  <c r="M8" i="3" s="1"/>
  <c r="J8" i="3"/>
  <c r="K8" i="3" s="1"/>
  <c r="L32" i="3"/>
  <c r="M32" i="3" s="1"/>
  <c r="J32" i="3"/>
  <c r="K32" i="3" s="1"/>
  <c r="L60" i="3"/>
  <c r="M60" i="3" s="1"/>
  <c r="J60" i="3"/>
  <c r="K60" i="3" s="1"/>
  <c r="L61" i="3"/>
  <c r="M61" i="3" s="1"/>
  <c r="J61" i="3"/>
  <c r="K61" i="3" s="1"/>
  <c r="L20" i="3"/>
  <c r="M20" i="3" s="1"/>
  <c r="J20" i="3"/>
  <c r="K20" i="3" s="1"/>
  <c r="J48" i="3"/>
  <c r="K48" i="3" s="1"/>
  <c r="L48" i="3"/>
  <c r="M48" i="3" s="1"/>
  <c r="L76" i="3"/>
  <c r="M76" i="3" s="1"/>
  <c r="J76" i="3"/>
  <c r="K76" i="3" s="1"/>
  <c r="J89" i="3"/>
  <c r="K89" i="3" s="1"/>
  <c r="L89" i="3"/>
  <c r="M89" i="3" s="1"/>
  <c r="L77" i="3"/>
  <c r="M77" i="3" s="1"/>
  <c r="J77" i="3"/>
  <c r="K77" i="3" s="1"/>
  <c r="L22" i="3"/>
  <c r="M22" i="3" s="1"/>
  <c r="J22" i="3"/>
  <c r="K22" i="3" s="1"/>
  <c r="L35" i="3"/>
  <c r="M35" i="3" s="1"/>
  <c r="J35" i="3"/>
  <c r="K35" i="3" s="1"/>
  <c r="L11" i="3"/>
  <c r="M11" i="3" s="1"/>
  <c r="J11" i="3"/>
  <c r="K11" i="3" s="1"/>
  <c r="L64" i="3"/>
  <c r="M64" i="3" s="1"/>
  <c r="J64" i="3"/>
  <c r="K64" i="3" s="1"/>
  <c r="L92" i="3"/>
  <c r="M92" i="3" s="1"/>
  <c r="J92" i="3"/>
  <c r="K92" i="3" s="1"/>
  <c r="L51" i="3"/>
  <c r="M51" i="3" s="1"/>
  <c r="J51" i="3"/>
  <c r="K51" i="3" s="1"/>
  <c r="J38" i="3"/>
  <c r="K38" i="3" s="1"/>
  <c r="L38" i="3"/>
  <c r="M38" i="3" s="1"/>
  <c r="L25" i="3"/>
  <c r="M25" i="3" s="1"/>
  <c r="J25" i="3"/>
  <c r="K25" i="3" s="1"/>
  <c r="L80" i="3"/>
  <c r="M80" i="3" s="1"/>
  <c r="J80" i="3"/>
  <c r="K80" i="3" s="1"/>
  <c r="L54" i="3"/>
  <c r="M54" i="3" s="1"/>
  <c r="J54" i="3"/>
  <c r="K54" i="3" s="1"/>
  <c r="L67" i="3"/>
  <c r="M67" i="3" s="1"/>
  <c r="J67" i="3"/>
  <c r="K67" i="3" s="1"/>
  <c r="L41" i="3"/>
  <c r="M41" i="3" s="1"/>
  <c r="J41" i="3"/>
  <c r="K41" i="3" s="1"/>
  <c r="L33" i="3"/>
  <c r="M33" i="3" s="1"/>
  <c r="J33" i="3"/>
  <c r="K33" i="3" s="1"/>
  <c r="L68" i="3"/>
  <c r="M68" i="3" s="1"/>
  <c r="J68" i="3"/>
  <c r="K68" i="3" s="1"/>
  <c r="J14" i="3"/>
  <c r="K14" i="3" s="1"/>
  <c r="J19" i="3"/>
  <c r="K19" i="3" s="1"/>
  <c r="L23" i="3"/>
  <c r="M23" i="3" s="1"/>
  <c r="L69" i="3"/>
  <c r="M69" i="3" s="1"/>
  <c r="J69" i="3"/>
  <c r="K69" i="3" s="1"/>
  <c r="L84" i="3"/>
  <c r="M84" i="3" s="1"/>
  <c r="J84" i="3"/>
  <c r="K84" i="3" s="1"/>
  <c r="L24" i="3"/>
  <c r="M24" i="3" s="1"/>
  <c r="J24" i="3"/>
  <c r="K24" i="3" s="1"/>
  <c r="L59" i="3"/>
  <c r="M59" i="3" s="1"/>
  <c r="J59" i="3"/>
  <c r="K59" i="3" s="1"/>
  <c r="J74" i="3"/>
  <c r="K74" i="3" s="1"/>
  <c r="L85" i="3"/>
  <c r="M85" i="3" s="1"/>
  <c r="J85" i="3"/>
  <c r="K85" i="3" s="1"/>
  <c r="J90" i="3"/>
  <c r="K90" i="3" s="1"/>
  <c r="J15" i="3"/>
  <c r="K15" i="3" s="1"/>
  <c r="L15" i="3"/>
  <c r="M15" i="3" s="1"/>
  <c r="L49" i="3"/>
  <c r="M49" i="3" s="1"/>
  <c r="J49" i="3"/>
  <c r="K49" i="3" s="1"/>
  <c r="L6" i="3"/>
  <c r="J6" i="3"/>
  <c r="K6" i="3" s="1"/>
  <c r="L39" i="3"/>
  <c r="M39" i="3" s="1"/>
  <c r="L75" i="3"/>
  <c r="M75" i="3" s="1"/>
  <c r="J75" i="3"/>
  <c r="K75" i="3" s="1"/>
  <c r="L91" i="3"/>
  <c r="M91" i="3" s="1"/>
  <c r="J91" i="3"/>
  <c r="K91" i="3" s="1"/>
  <c r="L40" i="3"/>
  <c r="M40" i="3" s="1"/>
  <c r="J40" i="3"/>
  <c r="K40" i="3" s="1"/>
  <c r="J16" i="3"/>
  <c r="K16" i="3" s="1"/>
  <c r="L30" i="3"/>
  <c r="M30" i="3" s="1"/>
  <c r="J30" i="3"/>
  <c r="K30" i="3" s="1"/>
  <c r="L65" i="3"/>
  <c r="M65" i="3" s="1"/>
  <c r="J65" i="3"/>
  <c r="K65" i="3" s="1"/>
  <c r="L55" i="3"/>
  <c r="M55" i="3" s="1"/>
  <c r="L81" i="3"/>
  <c r="M81" i="3" s="1"/>
  <c r="J81" i="3"/>
  <c r="K81" i="3" s="1"/>
  <c r="L12" i="3"/>
  <c r="M12" i="3" s="1"/>
  <c r="J12" i="3"/>
  <c r="K12" i="3" s="1"/>
  <c r="L21" i="3"/>
  <c r="M21" i="3" s="1"/>
  <c r="J21" i="3"/>
  <c r="K21" i="3" s="1"/>
  <c r="L56" i="3"/>
  <c r="M56" i="3" s="1"/>
  <c r="J56" i="3"/>
  <c r="K56" i="3" s="1"/>
  <c r="J26" i="3"/>
  <c r="K26" i="3" s="1"/>
  <c r="L46" i="3"/>
  <c r="M46" i="3" s="1"/>
  <c r="J46" i="3"/>
  <c r="K46" i="3" s="1"/>
  <c r="L36" i="3"/>
  <c r="M36" i="3" s="1"/>
  <c r="J36" i="3"/>
  <c r="K36" i="3" s="1"/>
  <c r="L71" i="3"/>
  <c r="M71" i="3" s="1"/>
  <c r="J87" i="3"/>
  <c r="K87" i="3" s="1"/>
  <c r="L87" i="3"/>
  <c r="M87" i="3" s="1"/>
  <c r="J13" i="3"/>
  <c r="K13" i="3" s="1"/>
  <c r="L37" i="3"/>
  <c r="M37" i="3" s="1"/>
  <c r="J37" i="3"/>
  <c r="K37" i="3" s="1"/>
  <c r="L72" i="3"/>
  <c r="M72" i="3" s="1"/>
  <c r="J72" i="3"/>
  <c r="K72" i="3" s="1"/>
  <c r="L88" i="3"/>
  <c r="M88" i="3" s="1"/>
  <c r="J88" i="3"/>
  <c r="K88" i="3" s="1"/>
  <c r="L27" i="3"/>
  <c r="M27" i="3" s="1"/>
  <c r="J27" i="3"/>
  <c r="K27" i="3" s="1"/>
  <c r="J42" i="3"/>
  <c r="K42" i="3" s="1"/>
  <c r="L62" i="3"/>
  <c r="M62" i="3" s="1"/>
  <c r="J62" i="3"/>
  <c r="K62" i="3" s="1"/>
  <c r="L52" i="3"/>
  <c r="M52" i="3" s="1"/>
  <c r="J52" i="3"/>
  <c r="K52" i="3" s="1"/>
  <c r="L78" i="3"/>
  <c r="M78" i="3" s="1"/>
  <c r="J78" i="3"/>
  <c r="K78" i="3" s="1"/>
  <c r="L9" i="3"/>
  <c r="M9" i="3" s="1"/>
  <c r="J9" i="3"/>
  <c r="K9" i="3" s="1"/>
  <c r="L53" i="3"/>
  <c r="M53" i="3" s="1"/>
  <c r="J53" i="3"/>
  <c r="K53" i="3" s="1"/>
  <c r="L43" i="3"/>
  <c r="M43" i="3" s="1"/>
  <c r="J43" i="3"/>
  <c r="K43" i="3" s="1"/>
  <c r="J18" i="3"/>
  <c r="K18" i="3" s="1"/>
  <c r="K2" i="3" l="1"/>
  <c r="M1" i="3"/>
  <c r="M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Chapter6" description="Connection to the 'Chapter6' query in the workbook." type="5" refreshedVersion="2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<sst xmlns="http://schemas.openxmlformats.org/spreadsheetml/2006/main" count="31" uniqueCount="22">
  <si>
    <t>To-Maximize</t>
  </si>
  <si>
    <t>m1</t>
  </si>
  <si>
    <t>m2</t>
  </si>
  <si>
    <t>m3</t>
  </si>
  <si>
    <t>m4</t>
  </si>
  <si>
    <t>m5</t>
  </si>
  <si>
    <t>b</t>
  </si>
  <si>
    <t>total Diff =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</si>
  <si>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</si>
  <si>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</si>
  <si>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</si>
  <si>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</si>
  <si>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</si>
  <si>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</si>
  <si>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</si>
  <si>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</t>
  </si>
  <si>
    <t>P(1)</t>
  </si>
  <si>
    <t>Outcome</t>
  </si>
  <si>
    <t>Difference</t>
  </si>
  <si>
    <t>Likelihood</t>
  </si>
  <si>
    <t>Ln(likelihood)</t>
  </si>
  <si>
    <t>Scoring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</si>
</sst>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J6" sqref="J6"/>
    </sheetView>
  </sheetViews>
  <sheetFormatPr defaultColWidth="9" defaultRowHeight="14.4"/>
  <cols>
    <col min="7" max="7" width="14" customWidth="1"/>
    <col min="8" max="8" width="16.109375" customWidth="1"/>
    <col min="9" max="12" width="12" customWidth="1"/>
    <col min="13" max="13" width="14.109375" customWidth="1"/>
  </cols>
  <sheetData>
    <row r="1" spans="1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0</v>
      </c>
      <c r="M1">
        <f>PRODUCT(L6:L92)</f>
        <v>3.3619355743300205E-13</v>
      </c>
    </row>
    <row r="2" spans="1:1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7</v>
      </c>
      <c r="K2">
        <f>SUM(K6:K92)</f>
        <v>12</v>
      </c>
    </row>
    <row r="3" spans="1:13">
      <c r="B3">
        <f>INDEX(LINEST($G$6:$G$92,$B$6:$F$92),1,B1)</f>
        <v>-3.1646397523048801E-4</v>
      </c>
      <c r="C3">
        <f t="shared" ref="C3:G3" si="0">INDEX(LINEST($G$6:$G$92,$B$6:$F$92),1,C1)</f>
        <v>3.0100064130601802E-3</v>
      </c>
      <c r="D3">
        <f t="shared" si="0"/>
        <v>-5.1330433103881296E-3</v>
      </c>
      <c r="E3">
        <f t="shared" si="0"/>
        <v>-5.1011808354464695E-4</v>
      </c>
      <c r="F3">
        <f t="shared" si="0"/>
        <v>-7.4155185513976696E-4</v>
      </c>
      <c r="G3">
        <f t="shared" si="0"/>
        <v>0.53557402517470798</v>
      </c>
    </row>
    <row r="4" spans="1:13">
      <c r="B4">
        <v>-2.0319701168630199E-2</v>
      </c>
      <c r="C4">
        <v>-7.9392416219025794E-3</v>
      </c>
      <c r="D4">
        <v>-9.7137358474937999E-2</v>
      </c>
      <c r="E4">
        <v>-1.07309794088858E-2</v>
      </c>
      <c r="F4">
        <v>-3.7996606494114398E-3</v>
      </c>
      <c r="G4">
        <v>4.2229987818658596</v>
      </c>
    </row>
    <row r="5" spans="1:1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</row>
    <row r="6" spans="1:1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$G$4+SUMPRODUCT($B$4:$F$4,B6:F6)</f>
        <v>-35.674317314469171</v>
      </c>
      <c r="I6">
        <f>1/(1+EXP(0-H6))</f>
        <v>3.2124830483704116E-16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IF(L6=0,-1000000,LN(L6))</f>
        <v>-3.3306690738754701E-16</v>
      </c>
    </row>
    <row r="7" spans="1:1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$G$4+SUMPRODUCT($B$4:$F$4,B7:F7)</f>
        <v>-2.1258483260763503</v>
      </c>
      <c r="I7">
        <f t="shared" ref="I7:I70" si="2">1/(1+EXP(0-H7))</f>
        <v>0.10660976890153701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0.89339023109846294</v>
      </c>
      <c r="M7">
        <f t="shared" ref="M7:M70" si="6">IF(L7=0,-1000000,LN(L7))</f>
        <v>-0.11273180464543349</v>
      </c>
    </row>
    <row r="8" spans="1:13">
      <c r="A8">
        <v>3</v>
      </c>
      <c r="B8">
        <v>7.7399500000000003</v>
      </c>
      <c r="C8">
        <v>42.368420999999998</v>
      </c>
      <c r="D8">
        <v>39.907120999999997</v>
      </c>
      <c r="E8">
        <v>9.2879000000000005</v>
      </c>
      <c r="F8">
        <v>104.2632</v>
      </c>
      <c r="G8">
        <v>1</v>
      </c>
      <c r="H8">
        <f t="shared" si="1"/>
        <v>-0.64295318080500152</v>
      </c>
      <c r="I8">
        <f t="shared" si="2"/>
        <v>0.34457927427248009</v>
      </c>
      <c r="J8">
        <f t="shared" si="3"/>
        <v>0</v>
      </c>
      <c r="K8">
        <f t="shared" si="4"/>
        <v>1</v>
      </c>
      <c r="L8">
        <f t="shared" si="5"/>
        <v>0.34457927427248009</v>
      </c>
      <c r="M8">
        <f t="shared" si="6"/>
        <v>-1.065431101002098</v>
      </c>
    </row>
    <row r="9" spans="1:13">
      <c r="A9">
        <v>4</v>
      </c>
      <c r="B9">
        <v>60.212499999999999</v>
      </c>
      <c r="C9">
        <v>25.631640999999998</v>
      </c>
      <c r="D9">
        <v>2.4203070000000002</v>
      </c>
      <c r="E9">
        <v>14.1677</v>
      </c>
      <c r="F9">
        <v>94.631600000000006</v>
      </c>
      <c r="G9">
        <v>1</v>
      </c>
      <c r="H9">
        <f t="shared" si="1"/>
        <v>2.0492994918243324</v>
      </c>
      <c r="I9">
        <f t="shared" si="2"/>
        <v>0.88587681712797739</v>
      </c>
      <c r="J9">
        <f t="shared" si="3"/>
        <v>1</v>
      </c>
      <c r="K9">
        <f t="shared" si="4"/>
        <v>0</v>
      </c>
      <c r="L9">
        <f t="shared" si="5"/>
        <v>0.88587681712797739</v>
      </c>
      <c r="M9">
        <f t="shared" si="6"/>
        <v>-0.12117737062991511</v>
      </c>
    </row>
    <row r="10" spans="1:13">
      <c r="A10">
        <v>5</v>
      </c>
      <c r="B10">
        <v>385.47660000000002</v>
      </c>
      <c r="C10">
        <v>20.329639</v>
      </c>
      <c r="D10">
        <v>5.8317509999999997</v>
      </c>
      <c r="E10">
        <v>35.4298</v>
      </c>
      <c r="F10">
        <v>71.058800000000005</v>
      </c>
      <c r="G10">
        <v>0</v>
      </c>
      <c r="H10">
        <f t="shared" si="1"/>
        <v>-4.9878491215797087</v>
      </c>
      <c r="I10">
        <f t="shared" si="2"/>
        <v>6.7741167695964579E-3</v>
      </c>
      <c r="J10">
        <f t="shared" si="3"/>
        <v>0</v>
      </c>
      <c r="K10">
        <f t="shared" si="4"/>
        <v>0</v>
      </c>
      <c r="L10">
        <f t="shared" si="5"/>
        <v>0.99322588323040351</v>
      </c>
      <c r="M10">
        <f t="shared" si="6"/>
        <v>-6.7971652462878521E-3</v>
      </c>
    </row>
    <row r="11" spans="1:1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-6.9288615190318854</v>
      </c>
      <c r="I11">
        <f t="shared" si="2"/>
        <v>9.7815720948859998E-4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-9.786359174450282E-4</v>
      </c>
    </row>
    <row r="12" spans="1:1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0.39279450142443073</v>
      </c>
      <c r="I12">
        <f t="shared" si="2"/>
        <v>0.59695523723158217</v>
      </c>
      <c r="J12">
        <f t="shared" si="3"/>
        <v>1</v>
      </c>
      <c r="K12">
        <f t="shared" si="4"/>
        <v>1</v>
      </c>
      <c r="L12">
        <f t="shared" si="5"/>
        <v>0.40304476276841783</v>
      </c>
      <c r="M12">
        <f t="shared" si="6"/>
        <v>-0.90870764933665749</v>
      </c>
    </row>
    <row r="13" spans="1:1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0.27970125991648809</v>
      </c>
      <c r="I13">
        <f t="shared" si="2"/>
        <v>0.5694729823065795</v>
      </c>
      <c r="J13">
        <f t="shared" si="3"/>
        <v>1</v>
      </c>
      <c r="K13">
        <f t="shared" si="4"/>
        <v>0</v>
      </c>
      <c r="L13">
        <f t="shared" si="5"/>
        <v>0.5694729823065795</v>
      </c>
      <c r="M13">
        <f t="shared" si="6"/>
        <v>-0.56304393829738486</v>
      </c>
    </row>
    <row r="14" spans="1:13">
      <c r="A14">
        <v>9</v>
      </c>
      <c r="B14">
        <v>188.6454</v>
      </c>
      <c r="C14">
        <v>26.958862</v>
      </c>
      <c r="D14">
        <v>12.508010000000001</v>
      </c>
      <c r="E14">
        <v>82.019800000000004</v>
      </c>
      <c r="F14">
        <v>137.77709999999999</v>
      </c>
      <c r="G14">
        <v>0</v>
      </c>
      <c r="H14">
        <f t="shared" si="1"/>
        <v>-2.4429063535994464</v>
      </c>
      <c r="I14">
        <f t="shared" si="2"/>
        <v>7.9958843847469402E-2</v>
      </c>
      <c r="J14">
        <f t="shared" si="3"/>
        <v>0</v>
      </c>
      <c r="K14">
        <f t="shared" si="4"/>
        <v>0</v>
      </c>
      <c r="L14">
        <f t="shared" si="5"/>
        <v>0.92004115615253057</v>
      </c>
      <c r="M14">
        <f t="shared" si="6"/>
        <v>-8.3336874991226231E-2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-30.484232879754813</v>
      </c>
      <c r="I15">
        <f t="shared" si="2"/>
        <v>5.7658836602777881E-14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-5.7620574978047291E-14</v>
      </c>
    </row>
    <row r="16" spans="1:13">
      <c r="A16">
        <v>11</v>
      </c>
      <c r="B16">
        <v>365.39699999999999</v>
      </c>
      <c r="C16">
        <v>3.2798440000000002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-4.5701459960584376</v>
      </c>
      <c r="I16">
        <f t="shared" si="2"/>
        <v>1.0250291004958934E-2</v>
      </c>
      <c r="J16">
        <f t="shared" si="3"/>
        <v>0</v>
      </c>
      <c r="K16">
        <f t="shared" si="4"/>
        <v>0</v>
      </c>
      <c r="L16">
        <f t="shared" si="5"/>
        <v>0.98974970899504111</v>
      </c>
      <c r="M16">
        <f t="shared" si="6"/>
        <v>-1.0303187014590329E-2</v>
      </c>
    </row>
    <row r="17" spans="1:1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0.5114191444023275</v>
      </c>
      <c r="I17">
        <f t="shared" si="2"/>
        <v>0.62513909607550933</v>
      </c>
      <c r="J17">
        <f t="shared" si="3"/>
        <v>1</v>
      </c>
      <c r="K17">
        <f t="shared" si="4"/>
        <v>0</v>
      </c>
      <c r="L17">
        <f t="shared" si="5"/>
        <v>0.62513909607550933</v>
      </c>
      <c r="M17">
        <f t="shared" si="6"/>
        <v>-0.46978110028632619</v>
      </c>
    </row>
    <row r="18" spans="1:13">
      <c r="A18">
        <v>13</v>
      </c>
      <c r="B18">
        <v>10.106999999999999</v>
      </c>
      <c r="C18">
        <v>12.223542999999999</v>
      </c>
      <c r="D18">
        <v>22.972652</v>
      </c>
      <c r="E18">
        <v>9.5124999999999993</v>
      </c>
      <c r="F18">
        <v>42.995199999999997</v>
      </c>
      <c r="G18">
        <v>1</v>
      </c>
      <c r="H18">
        <f t="shared" si="1"/>
        <v>1.4236335571771961</v>
      </c>
      <c r="I18">
        <f t="shared" si="2"/>
        <v>0.80590741163431945</v>
      </c>
      <c r="J18">
        <f t="shared" si="3"/>
        <v>1</v>
      </c>
      <c r="K18">
        <f t="shared" si="4"/>
        <v>0</v>
      </c>
      <c r="L18">
        <f t="shared" si="5"/>
        <v>0.80590741163431945</v>
      </c>
      <c r="M18">
        <f t="shared" si="6"/>
        <v>-0.21578641697685033</v>
      </c>
    </row>
    <row r="19" spans="1:1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-2.3988936866436612</v>
      </c>
      <c r="I19">
        <f t="shared" si="2"/>
        <v>8.3257097329990343E-2</v>
      </c>
      <c r="J19">
        <f t="shared" si="3"/>
        <v>0</v>
      </c>
      <c r="K19">
        <f t="shared" si="4"/>
        <v>0</v>
      </c>
      <c r="L19">
        <f t="shared" si="5"/>
        <v>0.91674290267000969</v>
      </c>
      <c r="M19">
        <f t="shared" si="6"/>
        <v>-8.6928213898674001E-2</v>
      </c>
    </row>
    <row r="20" spans="1:1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-36.61668076431846</v>
      </c>
      <c r="I20">
        <f t="shared" si="2"/>
        <v>1.2519229429086934E-16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-1.1102230246251565E-16</v>
      </c>
    </row>
    <row r="21" spans="1:13">
      <c r="A21">
        <v>16</v>
      </c>
      <c r="B21">
        <v>740.09900000000005</v>
      </c>
      <c r="C21">
        <v>10.532178</v>
      </c>
      <c r="D21">
        <v>6.4108910000000003</v>
      </c>
      <c r="E21">
        <v>168.3168</v>
      </c>
      <c r="F21">
        <v>143.81190000000001</v>
      </c>
      <c r="G21">
        <v>0</v>
      </c>
      <c r="H21">
        <f t="shared" si="1"/>
        <v>-13.874586788810463</v>
      </c>
      <c r="I21">
        <f t="shared" si="2"/>
        <v>9.4263402000167748E-7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-9.4263446423115408E-7</v>
      </c>
    </row>
    <row r="22" spans="1:13">
      <c r="A22">
        <v>17</v>
      </c>
      <c r="B22">
        <v>327.31139999999999</v>
      </c>
      <c r="C22">
        <v>13.294368</v>
      </c>
      <c r="D22">
        <v>12.592986</v>
      </c>
      <c r="E22">
        <v>95.643000000000001</v>
      </c>
      <c r="F22">
        <v>327.86930000000001</v>
      </c>
      <c r="G22">
        <v>0</v>
      </c>
      <c r="H22">
        <f t="shared" si="1"/>
        <v>-6.0288027912986308</v>
      </c>
      <c r="I22">
        <f t="shared" si="2"/>
        <v>2.4025892442692998E-3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-2.4054800930840593E-3</v>
      </c>
    </row>
    <row r="23" spans="1:1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-8.1942396982752861</v>
      </c>
      <c r="I23">
        <f t="shared" si="2"/>
        <v>2.7616393523027479E-4</v>
      </c>
      <c r="J23">
        <f t="shared" si="3"/>
        <v>0</v>
      </c>
      <c r="K23">
        <f t="shared" si="4"/>
        <v>0</v>
      </c>
      <c r="L23">
        <f t="shared" si="5"/>
        <v>0.99972383606476978</v>
      </c>
      <c r="M23">
        <f t="shared" si="6"/>
        <v>-2.7620207551192529E-4</v>
      </c>
    </row>
    <row r="24" spans="1:13">
      <c r="A24">
        <v>19</v>
      </c>
      <c r="B24">
        <v>67.775549999999996</v>
      </c>
      <c r="C24">
        <v>23.059925</v>
      </c>
      <c r="D24">
        <v>1.0064869999999999</v>
      </c>
      <c r="E24">
        <v>61.687899999999999</v>
      </c>
      <c r="F24">
        <v>101.27209999999999</v>
      </c>
      <c r="G24">
        <v>1</v>
      </c>
      <c r="H24">
        <f t="shared" si="1"/>
        <v>1.5182028565183221</v>
      </c>
      <c r="I24">
        <f t="shared" si="2"/>
        <v>0.82027368961854952</v>
      </c>
      <c r="J24">
        <f t="shared" si="3"/>
        <v>1</v>
      </c>
      <c r="K24">
        <f t="shared" si="4"/>
        <v>0</v>
      </c>
      <c r="L24">
        <f t="shared" si="5"/>
        <v>0.82027368961854952</v>
      </c>
      <c r="M24">
        <f t="shared" si="6"/>
        <v>-0.19811722658442926</v>
      </c>
    </row>
    <row r="25" spans="1:1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-4.4380633753483405</v>
      </c>
      <c r="I25">
        <f t="shared" si="2"/>
        <v>1.1680752425091645E-2</v>
      </c>
      <c r="J25">
        <f t="shared" si="3"/>
        <v>0</v>
      </c>
      <c r="K25">
        <f t="shared" si="4"/>
        <v>0</v>
      </c>
      <c r="L25">
        <f t="shared" si="5"/>
        <v>0.9883192475749083</v>
      </c>
      <c r="M25">
        <f t="shared" si="6"/>
        <v>-1.1749508352115346E-2</v>
      </c>
    </row>
    <row r="26" spans="1:1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-2.5296651839549149</v>
      </c>
      <c r="I26">
        <f t="shared" si="2"/>
        <v>7.3804530498397705E-2</v>
      </c>
      <c r="J26">
        <f t="shared" si="3"/>
        <v>0</v>
      </c>
      <c r="K26">
        <f t="shared" si="4"/>
        <v>0</v>
      </c>
      <c r="L26">
        <f t="shared" si="5"/>
        <v>0.92619546950160225</v>
      </c>
      <c r="M26">
        <f t="shared" si="6"/>
        <v>-7.6669976437837253E-2</v>
      </c>
    </row>
    <row r="27" spans="1:1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133.55260000000001</v>
      </c>
      <c r="G27">
        <v>0</v>
      </c>
      <c r="H27">
        <f t="shared" si="1"/>
        <v>-4.1743942434294929</v>
      </c>
      <c r="I27">
        <f t="shared" si="2"/>
        <v>1.5151411093166197E-2</v>
      </c>
      <c r="J27">
        <f t="shared" si="3"/>
        <v>0</v>
      </c>
      <c r="K27">
        <f t="shared" si="4"/>
        <v>0</v>
      </c>
      <c r="L27">
        <f t="shared" si="5"/>
        <v>0.9848485889068338</v>
      </c>
      <c r="M27">
        <f t="shared" si="6"/>
        <v>-1.5267366471547389E-2</v>
      </c>
    </row>
    <row r="28" spans="1:1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0.56665871508495202</v>
      </c>
      <c r="I28">
        <f t="shared" si="2"/>
        <v>0.63799183417957195</v>
      </c>
      <c r="J28">
        <f t="shared" si="3"/>
        <v>1</v>
      </c>
      <c r="K28">
        <f t="shared" si="4"/>
        <v>1</v>
      </c>
      <c r="L28">
        <f t="shared" si="5"/>
        <v>0.36200816582042805</v>
      </c>
      <c r="M28">
        <f t="shared" si="6"/>
        <v>-1.0160885098957884</v>
      </c>
    </row>
    <row r="29" spans="1:13">
      <c r="A29">
        <v>24</v>
      </c>
      <c r="B29">
        <v>223.03639999999999</v>
      </c>
      <c r="C29">
        <v>6.8653370000000002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-3.5749195494792714</v>
      </c>
      <c r="I29">
        <f t="shared" si="2"/>
        <v>2.7254083536867049E-2</v>
      </c>
      <c r="J29">
        <f t="shared" si="3"/>
        <v>0</v>
      </c>
      <c r="K29">
        <f t="shared" si="4"/>
        <v>0</v>
      </c>
      <c r="L29">
        <f t="shared" si="5"/>
        <v>0.97274591646313291</v>
      </c>
      <c r="M29">
        <f t="shared" si="6"/>
        <v>-2.7632365056757899E-2</v>
      </c>
    </row>
    <row r="30" spans="1:1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-5.8120860132257146</v>
      </c>
      <c r="I30">
        <f t="shared" si="2"/>
        <v>2.9822634122688091E-3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-2.9867192209341439E-3</v>
      </c>
    </row>
    <row r="31" spans="1:1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-2.0591439771785618</v>
      </c>
      <c r="I31">
        <f t="shared" si="2"/>
        <v>0.11313168889371591</v>
      </c>
      <c r="J31">
        <f t="shared" si="3"/>
        <v>0</v>
      </c>
      <c r="K31">
        <f t="shared" si="4"/>
        <v>0</v>
      </c>
      <c r="L31">
        <f t="shared" si="5"/>
        <v>0.88686831110628406</v>
      </c>
      <c r="M31">
        <f t="shared" si="6"/>
        <v>-0.12005877318925652</v>
      </c>
    </row>
    <row r="32" spans="1:1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-17.183917898953126</v>
      </c>
      <c r="I32">
        <f t="shared" si="2"/>
        <v>3.4444450761758016E-8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-3.4444451329292041E-8</v>
      </c>
    </row>
    <row r="33" spans="1:13">
      <c r="A33">
        <v>28</v>
      </c>
      <c r="B33">
        <v>22.633749999999999</v>
      </c>
      <c r="C33">
        <v>16.985596999999999</v>
      </c>
      <c r="D33">
        <v>21.934156000000002</v>
      </c>
      <c r="E33">
        <v>34.979399999999998</v>
      </c>
      <c r="F33">
        <v>154.34979999999999</v>
      </c>
      <c r="G33">
        <v>1</v>
      </c>
      <c r="H33">
        <f t="shared" si="1"/>
        <v>0.53576893020819405</v>
      </c>
      <c r="I33">
        <f t="shared" si="2"/>
        <v>0.63082761530465448</v>
      </c>
      <c r="J33">
        <f t="shared" si="3"/>
        <v>1</v>
      </c>
      <c r="K33">
        <f t="shared" si="4"/>
        <v>0</v>
      </c>
      <c r="L33">
        <f t="shared" si="5"/>
        <v>0.63082761530465448</v>
      </c>
      <c r="M33">
        <f t="shared" si="6"/>
        <v>-0.46072264662597789</v>
      </c>
    </row>
    <row r="34" spans="1:13">
      <c r="A34">
        <v>29</v>
      </c>
      <c r="B34">
        <v>281.97320000000002</v>
      </c>
      <c r="C34">
        <v>7.5761269999999996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-2.3400399318636049</v>
      </c>
      <c r="I34">
        <f t="shared" si="2"/>
        <v>8.7860714588790009E-2</v>
      </c>
      <c r="J34">
        <f t="shared" si="3"/>
        <v>0</v>
      </c>
      <c r="K34">
        <f t="shared" si="4"/>
        <v>1</v>
      </c>
      <c r="L34">
        <f t="shared" si="5"/>
        <v>8.7860714588790009E-2</v>
      </c>
      <c r="M34">
        <f t="shared" si="6"/>
        <v>-2.4320025072011315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23.857600000000001</v>
      </c>
      <c r="F35">
        <v>63.967500000000001</v>
      </c>
      <c r="G35">
        <v>0</v>
      </c>
      <c r="H35">
        <f t="shared" si="1"/>
        <v>-3.2436985577179058</v>
      </c>
      <c r="I35">
        <f t="shared" si="2"/>
        <v>3.7553982137912875E-2</v>
      </c>
      <c r="J35">
        <f t="shared" si="3"/>
        <v>0</v>
      </c>
      <c r="K35">
        <f t="shared" si="4"/>
        <v>0</v>
      </c>
      <c r="L35">
        <f t="shared" si="5"/>
        <v>0.96244601786208717</v>
      </c>
      <c r="M35">
        <f t="shared" si="6"/>
        <v>-3.82772997311304E-2</v>
      </c>
    </row>
    <row r="36" spans="1:13">
      <c r="A36">
        <v>31</v>
      </c>
      <c r="B36">
        <v>775.38440000000003</v>
      </c>
      <c r="C36">
        <v>4.2702330000000002</v>
      </c>
      <c r="D36">
        <v>3.2026750000000002</v>
      </c>
      <c r="E36">
        <v>0</v>
      </c>
      <c r="F36">
        <v>137.37450000000001</v>
      </c>
      <c r="G36">
        <v>0</v>
      </c>
      <c r="H36">
        <f t="shared" si="1"/>
        <v>-12.39955879995688</v>
      </c>
      <c r="I36">
        <f t="shared" si="2"/>
        <v>4.1203892522895268E-6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-4.1203977410650129E-6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-4.2890539508791701</v>
      </c>
      <c r="I37">
        <f t="shared" si="2"/>
        <v>1.3532262778348809E-2</v>
      </c>
      <c r="J37">
        <f t="shared" si="3"/>
        <v>0</v>
      </c>
      <c r="K37">
        <f t="shared" si="4"/>
        <v>0</v>
      </c>
      <c r="L37">
        <f t="shared" si="5"/>
        <v>0.98646773722165115</v>
      </c>
      <c r="M37">
        <f t="shared" si="6"/>
        <v>-1.3624658340476563E-2</v>
      </c>
    </row>
    <row r="38" spans="1:1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1.8224776809885661</v>
      </c>
      <c r="I38">
        <f t="shared" si="2"/>
        <v>0.8608631635892352</v>
      </c>
      <c r="J38">
        <f t="shared" si="3"/>
        <v>1</v>
      </c>
      <c r="K38">
        <f t="shared" si="4"/>
        <v>0</v>
      </c>
      <c r="L38">
        <f t="shared" si="5"/>
        <v>0.8608631635892352</v>
      </c>
      <c r="M38">
        <f t="shared" si="6"/>
        <v>-0.14981971449103584</v>
      </c>
    </row>
    <row r="39" spans="1:13">
      <c r="A39">
        <v>34</v>
      </c>
      <c r="B39">
        <v>122.3764</v>
      </c>
      <c r="C39">
        <v>9.0537179999999999</v>
      </c>
      <c r="D39">
        <v>6.6702240000000002</v>
      </c>
      <c r="E39">
        <v>72.572000000000003</v>
      </c>
      <c r="F39">
        <v>318.48989999999998</v>
      </c>
      <c r="G39">
        <v>0</v>
      </c>
      <c r="H39">
        <f t="shared" si="1"/>
        <v>-0.97238286872824542</v>
      </c>
      <c r="I39">
        <f t="shared" si="2"/>
        <v>0.27440580079670057</v>
      </c>
      <c r="J39">
        <f t="shared" si="3"/>
        <v>0</v>
      </c>
      <c r="K39">
        <f t="shared" si="4"/>
        <v>0</v>
      </c>
      <c r="L39">
        <f t="shared" si="5"/>
        <v>0.72559419920329948</v>
      </c>
      <c r="M39">
        <f t="shared" si="6"/>
        <v>-0.32076437469593982</v>
      </c>
    </row>
    <row r="40" spans="1:13">
      <c r="A40">
        <v>35</v>
      </c>
      <c r="B40">
        <v>69.549800000000005</v>
      </c>
      <c r="C40">
        <v>36.724414000000003</v>
      </c>
      <c r="D40">
        <v>39.827810999999997</v>
      </c>
      <c r="E40">
        <v>47.420400000000001</v>
      </c>
      <c r="F40">
        <v>104.0339</v>
      </c>
      <c r="G40">
        <v>0</v>
      </c>
      <c r="H40">
        <f t="shared" si="1"/>
        <v>-2.2547255730159304</v>
      </c>
      <c r="I40">
        <f t="shared" si="2"/>
        <v>9.4942625402321804E-2</v>
      </c>
      <c r="J40">
        <f t="shared" si="3"/>
        <v>0</v>
      </c>
      <c r="K40">
        <f t="shared" si="4"/>
        <v>0</v>
      </c>
      <c r="L40">
        <f t="shared" si="5"/>
        <v>0.90505737459767821</v>
      </c>
      <c r="M40">
        <f t="shared" si="6"/>
        <v>-9.9756939946236925E-2</v>
      </c>
    </row>
    <row r="41" spans="1:13">
      <c r="A41">
        <v>36</v>
      </c>
      <c r="B41">
        <v>161.37200000000001</v>
      </c>
      <c r="C41">
        <v>6.2935049999999997</v>
      </c>
      <c r="D41">
        <v>1.8288819999999999</v>
      </c>
      <c r="E41">
        <v>59.169800000000002</v>
      </c>
      <c r="F41">
        <v>193.7681</v>
      </c>
      <c r="G41">
        <v>0</v>
      </c>
      <c r="H41">
        <f t="shared" si="1"/>
        <v>-0.65485338851345976</v>
      </c>
      <c r="I41">
        <f t="shared" si="2"/>
        <v>0.34189667226110992</v>
      </c>
      <c r="J41">
        <f t="shared" si="3"/>
        <v>0</v>
      </c>
      <c r="K41">
        <f t="shared" si="4"/>
        <v>0</v>
      </c>
      <c r="L41">
        <f t="shared" si="5"/>
        <v>0.65810332773889013</v>
      </c>
      <c r="M41">
        <f t="shared" si="6"/>
        <v>-0.41839332694738979</v>
      </c>
    </row>
    <row r="42" spans="1:13">
      <c r="A42">
        <v>37</v>
      </c>
      <c r="B42">
        <v>551.65499999999997</v>
      </c>
      <c r="C42">
        <v>27.582747999999999</v>
      </c>
      <c r="D42">
        <v>5.4262790000000001</v>
      </c>
      <c r="E42">
        <v>306.92079999999999</v>
      </c>
      <c r="F42">
        <v>181.46940000000001</v>
      </c>
      <c r="G42">
        <v>0</v>
      </c>
      <c r="H42">
        <f t="shared" si="1"/>
        <v>-11.715629398901971</v>
      </c>
      <c r="I42">
        <f t="shared" si="2"/>
        <v>8.1651328250032432E-6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-8.1651661598561419E-6</v>
      </c>
    </row>
    <row r="43" spans="1:13">
      <c r="A43">
        <v>38</v>
      </c>
      <c r="B43">
        <v>182.38339999999999</v>
      </c>
      <c r="C43">
        <v>19.927461000000001</v>
      </c>
      <c r="D43">
        <v>2.7875649999999998</v>
      </c>
      <c r="E43">
        <v>10.3626</v>
      </c>
      <c r="F43">
        <v>118.2642</v>
      </c>
      <c r="G43">
        <v>0</v>
      </c>
      <c r="H43">
        <f t="shared" si="1"/>
        <v>-0.4725277069167646</v>
      </c>
      <c r="I43">
        <f t="shared" si="2"/>
        <v>0.3840181440392732</v>
      </c>
      <c r="J43">
        <f t="shared" si="3"/>
        <v>0</v>
      </c>
      <c r="K43">
        <f t="shared" si="4"/>
        <v>0</v>
      </c>
      <c r="L43">
        <f t="shared" si="5"/>
        <v>0.61598185596072685</v>
      </c>
      <c r="M43">
        <f t="shared" si="6"/>
        <v>-0.48453777049162244</v>
      </c>
    </row>
    <row r="44" spans="1:1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-8.3023131420513732</v>
      </c>
      <c r="I44">
        <f t="shared" si="2"/>
        <v>2.4788117642019121E-4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-2.4791190403694341E-4</v>
      </c>
    </row>
    <row r="45" spans="1:13">
      <c r="A45">
        <v>40</v>
      </c>
      <c r="B45">
        <v>241.71199999999999</v>
      </c>
      <c r="C45">
        <v>8.6438299999999995</v>
      </c>
      <c r="D45">
        <v>19.643474999999999</v>
      </c>
      <c r="E45">
        <v>970.35080000000005</v>
      </c>
      <c r="F45">
        <v>78.421800000000005</v>
      </c>
      <c r="G45">
        <v>0</v>
      </c>
      <c r="H45">
        <f t="shared" si="1"/>
        <v>-13.376048236395091</v>
      </c>
      <c r="I45">
        <f t="shared" si="2"/>
        <v>1.5518701774279128E-6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-1.5518713816259268E-6</v>
      </c>
    </row>
    <row r="46" spans="1:13">
      <c r="A46">
        <v>41</v>
      </c>
      <c r="B46">
        <v>175.3862</v>
      </c>
      <c r="C46">
        <v>21.978076999999999</v>
      </c>
      <c r="D46">
        <v>13.692078</v>
      </c>
      <c r="E46">
        <v>58.794199999999996</v>
      </c>
      <c r="F46">
        <v>78.313400000000001</v>
      </c>
      <c r="G46">
        <v>0</v>
      </c>
      <c r="H46">
        <f t="shared" si="1"/>
        <v>-1.773781637739873</v>
      </c>
      <c r="I46">
        <f t="shared" si="2"/>
        <v>0.14507267547493252</v>
      </c>
      <c r="J46">
        <f t="shared" si="3"/>
        <v>0</v>
      </c>
      <c r="K46">
        <f t="shared" si="4"/>
        <v>0</v>
      </c>
      <c r="L46">
        <f t="shared" si="5"/>
        <v>0.85492732452506748</v>
      </c>
      <c r="M46">
        <f t="shared" si="6"/>
        <v>-0.15673881421360542</v>
      </c>
    </row>
    <row r="47" spans="1:1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-7.4909108591414029</v>
      </c>
      <c r="I47">
        <f t="shared" si="2"/>
        <v>5.5782300692509357E-4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-5.5797864806144109E-4</v>
      </c>
    </row>
    <row r="48" spans="1:13">
      <c r="A48">
        <v>43</v>
      </c>
      <c r="B48">
        <v>58.769100000000002</v>
      </c>
      <c r="C48">
        <v>32.248958999999999</v>
      </c>
      <c r="D48">
        <v>7.0198980000000004</v>
      </c>
      <c r="E48">
        <v>39.796399999999998</v>
      </c>
      <c r="F48">
        <v>134.58539999999999</v>
      </c>
      <c r="G48">
        <v>1</v>
      </c>
      <c r="H48">
        <f t="shared" si="1"/>
        <v>1.1524684085641033</v>
      </c>
      <c r="I48">
        <f t="shared" si="2"/>
        <v>0.75996149299596483</v>
      </c>
      <c r="J48">
        <f t="shared" si="3"/>
        <v>1</v>
      </c>
      <c r="K48">
        <f t="shared" si="4"/>
        <v>0</v>
      </c>
      <c r="L48">
        <f t="shared" si="5"/>
        <v>0.75996149299596483</v>
      </c>
      <c r="M48">
        <f t="shared" si="6"/>
        <v>-0.27448751409595429</v>
      </c>
    </row>
    <row r="49" spans="1:1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0.67204847241082799</v>
      </c>
      <c r="I49">
        <f t="shared" si="2"/>
        <v>0.6619616945860044</v>
      </c>
      <c r="J49">
        <f t="shared" si="3"/>
        <v>1</v>
      </c>
      <c r="K49">
        <f t="shared" si="4"/>
        <v>0</v>
      </c>
      <c r="L49">
        <f t="shared" si="5"/>
        <v>0.6619616945860044</v>
      </c>
      <c r="M49">
        <f t="shared" si="6"/>
        <v>-0.41254758788240159</v>
      </c>
    </row>
    <row r="50" spans="1:13">
      <c r="A50">
        <v>45</v>
      </c>
      <c r="B50">
        <v>919.11860000000001</v>
      </c>
      <c r="C50">
        <v>12.946122000000001</v>
      </c>
      <c r="D50">
        <v>5.4107760000000003</v>
      </c>
      <c r="E50">
        <v>9.1707999999999998</v>
      </c>
      <c r="F50">
        <v>98.875900000000001</v>
      </c>
      <c r="G50">
        <v>0</v>
      </c>
      <c r="H50">
        <f t="shared" si="1"/>
        <v>-15.555693919596264</v>
      </c>
      <c r="I50">
        <f t="shared" si="2"/>
        <v>1.7548818906423055E-7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-1.7548820448946467E-7</v>
      </c>
    </row>
    <row r="51" spans="1:13">
      <c r="A51">
        <v>46</v>
      </c>
      <c r="B51">
        <v>157.173</v>
      </c>
      <c r="C51">
        <v>8.2362870000000008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-7.4579683323236168E-2</v>
      </c>
      <c r="I51">
        <f t="shared" si="2"/>
        <v>0.48136371648652909</v>
      </c>
      <c r="J51">
        <f t="shared" si="3"/>
        <v>0</v>
      </c>
      <c r="K51">
        <f t="shared" si="4"/>
        <v>1</v>
      </c>
      <c r="L51">
        <f t="shared" si="5"/>
        <v>0.48136371648652909</v>
      </c>
      <c r="M51">
        <f t="shared" si="6"/>
        <v>-0.73113212729519028</v>
      </c>
    </row>
    <row r="52" spans="1:13">
      <c r="A52">
        <v>47</v>
      </c>
      <c r="B52">
        <v>113.3558</v>
      </c>
      <c r="C52">
        <v>30.756011000000001</v>
      </c>
      <c r="D52">
        <v>13.094433</v>
      </c>
      <c r="E52">
        <v>51.192999999999998</v>
      </c>
      <c r="F52">
        <v>140.1842</v>
      </c>
      <c r="G52">
        <v>0</v>
      </c>
      <c r="H52">
        <f t="shared" si="1"/>
        <v>-0.67849865215541705</v>
      </c>
      <c r="I52">
        <f t="shared" si="2"/>
        <v>0.33659647020992722</v>
      </c>
      <c r="J52">
        <f t="shared" si="3"/>
        <v>0</v>
      </c>
      <c r="K52">
        <f t="shared" si="4"/>
        <v>0</v>
      </c>
      <c r="L52">
        <f t="shared" si="5"/>
        <v>0.66340352979007278</v>
      </c>
      <c r="M52">
        <f t="shared" si="6"/>
        <v>-0.41037183172652264</v>
      </c>
    </row>
    <row r="53" spans="1:13">
      <c r="A53">
        <v>48</v>
      </c>
      <c r="B53">
        <v>417.32279999999997</v>
      </c>
      <c r="C53">
        <v>18.725394000000001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-9.154047277513504</v>
      </c>
      <c r="I53">
        <f t="shared" si="2"/>
        <v>1.0577958001592721E-4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-1.0578517507023602E-4</v>
      </c>
    </row>
    <row r="54" spans="1:1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-6.4967284620317667</v>
      </c>
      <c r="I54">
        <f t="shared" si="2"/>
        <v>1.5060940649987051E-3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-1.5072293647202966E-3</v>
      </c>
    </row>
    <row r="55" spans="1:1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-0.92761312636718607</v>
      </c>
      <c r="I55">
        <f t="shared" si="2"/>
        <v>0.28340921022308918</v>
      </c>
      <c r="J55">
        <f t="shared" si="3"/>
        <v>0</v>
      </c>
      <c r="K55">
        <f t="shared" si="4"/>
        <v>0</v>
      </c>
      <c r="L55">
        <f t="shared" si="5"/>
        <v>0.71659078977691082</v>
      </c>
      <c r="M55">
        <f t="shared" si="6"/>
        <v>-0.33325032686355499</v>
      </c>
    </row>
    <row r="56" spans="1:13">
      <c r="A56">
        <v>51</v>
      </c>
      <c r="B56">
        <v>133.06120000000001</v>
      </c>
      <c r="C56">
        <v>31.008163</v>
      </c>
      <c r="D56">
        <v>16.583673000000001</v>
      </c>
      <c r="E56">
        <v>5.7141999999999999</v>
      </c>
      <c r="F56">
        <v>44.591799999999999</v>
      </c>
      <c r="G56">
        <v>0</v>
      </c>
      <c r="H56">
        <f t="shared" si="1"/>
        <v>-0.56859319689864751</v>
      </c>
      <c r="I56">
        <f t="shared" si="2"/>
        <v>0.36156150065221943</v>
      </c>
      <c r="J56">
        <f t="shared" si="3"/>
        <v>0</v>
      </c>
      <c r="K56">
        <f t="shared" si="4"/>
        <v>0</v>
      </c>
      <c r="L56">
        <f t="shared" si="5"/>
        <v>0.63843849934778052</v>
      </c>
      <c r="M56">
        <f t="shared" si="6"/>
        <v>-0.44872992866897471</v>
      </c>
    </row>
    <row r="57" spans="1:1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-2.4556838599755437E-2</v>
      </c>
      <c r="I57">
        <f t="shared" si="2"/>
        <v>0.4938610988463481</v>
      </c>
      <c r="J57">
        <f t="shared" si="3"/>
        <v>0</v>
      </c>
      <c r="K57">
        <f t="shared" si="4"/>
        <v>0</v>
      </c>
      <c r="L57">
        <f t="shared" si="5"/>
        <v>0.5061389011536519</v>
      </c>
      <c r="M57">
        <f t="shared" si="6"/>
        <v>-0.68094413915635787</v>
      </c>
    </row>
    <row r="58" spans="1:1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0.50931551724554147</v>
      </c>
      <c r="I58">
        <f t="shared" si="2"/>
        <v>0.62464600202971132</v>
      </c>
      <c r="J58">
        <f t="shared" si="3"/>
        <v>1</v>
      </c>
      <c r="K58">
        <f t="shared" si="4"/>
        <v>0</v>
      </c>
      <c r="L58">
        <f t="shared" si="5"/>
        <v>0.62464600202971132</v>
      </c>
      <c r="M58">
        <f t="shared" si="6"/>
        <v>-0.47057018646143145</v>
      </c>
    </row>
    <row r="59" spans="1:1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0.28796137526564403</v>
      </c>
      <c r="I59">
        <f t="shared" si="2"/>
        <v>0.57149697075265582</v>
      </c>
      <c r="J59">
        <f t="shared" si="3"/>
        <v>1</v>
      </c>
      <c r="K59">
        <f t="shared" si="4"/>
        <v>0</v>
      </c>
      <c r="L59">
        <f t="shared" si="5"/>
        <v>0.57149697075265582</v>
      </c>
      <c r="M59">
        <f t="shared" si="6"/>
        <v>-0.55949609628160679</v>
      </c>
    </row>
    <row r="60" spans="1:13">
      <c r="A60">
        <v>55</v>
      </c>
      <c r="B60">
        <v>293.51799999999997</v>
      </c>
      <c r="C60">
        <v>43.684224</v>
      </c>
      <c r="D60">
        <v>7.010084</v>
      </c>
      <c r="E60">
        <v>48.919600000000003</v>
      </c>
      <c r="F60">
        <v>206.62729999999999</v>
      </c>
      <c r="G60">
        <v>0</v>
      </c>
      <c r="H60">
        <f t="shared" si="1"/>
        <v>-4.079028758791944</v>
      </c>
      <c r="I60">
        <f t="shared" si="2"/>
        <v>1.6642243281654021E-2</v>
      </c>
      <c r="J60">
        <f t="shared" si="3"/>
        <v>0</v>
      </c>
      <c r="K60">
        <f t="shared" si="4"/>
        <v>0</v>
      </c>
      <c r="L60">
        <f t="shared" si="5"/>
        <v>0.98335775671834602</v>
      </c>
      <c r="M60">
        <f t="shared" si="6"/>
        <v>-1.6782281284132006E-2</v>
      </c>
    </row>
    <row r="61" spans="1:1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-0.27446346923971277</v>
      </c>
      <c r="I61">
        <f t="shared" si="2"/>
        <v>0.43181164971199859</v>
      </c>
      <c r="J61">
        <f t="shared" si="3"/>
        <v>0</v>
      </c>
      <c r="K61">
        <f t="shared" si="4"/>
        <v>0</v>
      </c>
      <c r="L61">
        <f t="shared" si="5"/>
        <v>0.56818835028800141</v>
      </c>
      <c r="M61">
        <f t="shared" si="6"/>
        <v>-0.56530231260926223</v>
      </c>
    </row>
    <row r="62" spans="1:1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0.720110425401284</v>
      </c>
      <c r="I62">
        <f t="shared" si="2"/>
        <v>0.67263133303047407</v>
      </c>
      <c r="J62">
        <f t="shared" si="3"/>
        <v>1</v>
      </c>
      <c r="K62">
        <f t="shared" si="4"/>
        <v>0</v>
      </c>
      <c r="L62">
        <f t="shared" si="5"/>
        <v>0.67263133303047407</v>
      </c>
      <c r="M62">
        <f t="shared" si="6"/>
        <v>-0.39655789582126511</v>
      </c>
    </row>
    <row r="63" spans="1:13">
      <c r="A63">
        <v>58</v>
      </c>
      <c r="B63">
        <v>30.389150000000001</v>
      </c>
      <c r="C63">
        <v>42.006177000000001</v>
      </c>
      <c r="D63">
        <v>11.147622</v>
      </c>
      <c r="E63">
        <v>37.554000000000002</v>
      </c>
      <c r="F63">
        <v>141.80420000000001</v>
      </c>
      <c r="G63">
        <v>1</v>
      </c>
      <c r="H63">
        <f t="shared" si="1"/>
        <v>1.2473535525421022</v>
      </c>
      <c r="I63">
        <f t="shared" si="2"/>
        <v>0.7768414122816929</v>
      </c>
      <c r="J63">
        <f t="shared" si="3"/>
        <v>1</v>
      </c>
      <c r="K63">
        <f t="shared" si="4"/>
        <v>0</v>
      </c>
      <c r="L63">
        <f t="shared" si="5"/>
        <v>0.7768414122816929</v>
      </c>
      <c r="M63">
        <f t="shared" si="6"/>
        <v>-0.25251905204382319</v>
      </c>
    </row>
    <row r="64" spans="1:1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-7.7620230636917142E-2</v>
      </c>
      <c r="I64">
        <f t="shared" si="2"/>
        <v>0.48060467926906503</v>
      </c>
      <c r="J64">
        <f t="shared" si="3"/>
        <v>0</v>
      </c>
      <c r="K64">
        <f t="shared" si="4"/>
        <v>0</v>
      </c>
      <c r="L64">
        <f t="shared" si="5"/>
        <v>0.51939532073093497</v>
      </c>
      <c r="M64">
        <f t="shared" si="6"/>
        <v>-0.65508998878341373</v>
      </c>
    </row>
    <row r="65" spans="1:1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0.39745277145613844</v>
      </c>
      <c r="I65">
        <f t="shared" si="2"/>
        <v>0.59807550753098815</v>
      </c>
      <c r="J65">
        <f t="shared" si="3"/>
        <v>1</v>
      </c>
      <c r="K65">
        <f t="shared" si="4"/>
        <v>1</v>
      </c>
      <c r="L65">
        <f t="shared" si="5"/>
        <v>0.40192449246901185</v>
      </c>
      <c r="M65">
        <f t="shared" si="6"/>
        <v>-0.91149103768439432</v>
      </c>
    </row>
    <row r="66" spans="1:13">
      <c r="A66">
        <v>61</v>
      </c>
      <c r="B66">
        <v>34.296950000000002</v>
      </c>
      <c r="C66">
        <v>31.876764000000001</v>
      </c>
      <c r="D66">
        <v>12.722232999999999</v>
      </c>
      <c r="E66">
        <v>112.9211</v>
      </c>
      <c r="F66">
        <v>79.889099999999999</v>
      </c>
      <c r="G66">
        <v>1</v>
      </c>
      <c r="H66">
        <f t="shared" si="1"/>
        <v>0.5219080993117271</v>
      </c>
      <c r="I66">
        <f t="shared" si="2"/>
        <v>0.62759383539324343</v>
      </c>
      <c r="J66">
        <f t="shared" si="3"/>
        <v>1</v>
      </c>
      <c r="K66">
        <f t="shared" si="4"/>
        <v>0</v>
      </c>
      <c r="L66">
        <f t="shared" si="5"/>
        <v>0.62759383539324343</v>
      </c>
      <c r="M66">
        <f t="shared" si="6"/>
        <v>-0.46586208068067303</v>
      </c>
    </row>
    <row r="67" spans="1:1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2.3042416767857343</v>
      </c>
      <c r="I67">
        <f t="shared" si="2"/>
        <v>0.90922772409238084</v>
      </c>
      <c r="J67">
        <f t="shared" si="3"/>
        <v>1</v>
      </c>
      <c r="K67">
        <f t="shared" si="4"/>
        <v>0</v>
      </c>
      <c r="L67">
        <f t="shared" si="5"/>
        <v>0.90922772409238084</v>
      </c>
      <c r="M67">
        <f t="shared" si="6"/>
        <v>-9.5159694626168356E-2</v>
      </c>
    </row>
    <row r="68" spans="1:13">
      <c r="A68">
        <v>63</v>
      </c>
      <c r="B68">
        <v>60.285200000000003</v>
      </c>
      <c r="C68">
        <v>15.595086999999999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1.7329940952206146</v>
      </c>
      <c r="I68">
        <f t="shared" si="2"/>
        <v>0.8497949973218617</v>
      </c>
      <c r="J68">
        <f t="shared" si="3"/>
        <v>1</v>
      </c>
      <c r="K68">
        <f t="shared" si="4"/>
        <v>0</v>
      </c>
      <c r="L68">
        <f t="shared" si="5"/>
        <v>0.8497949973218617</v>
      </c>
      <c r="M68">
        <f t="shared" si="6"/>
        <v>-0.16276013820759608</v>
      </c>
    </row>
    <row r="69" spans="1:13">
      <c r="A69">
        <v>64</v>
      </c>
      <c r="B69">
        <v>52.327399999999997</v>
      </c>
      <c r="C69">
        <v>17.149460000000001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1.3482544701921468</v>
      </c>
      <c r="I69">
        <f t="shared" si="2"/>
        <v>0.79384410892104662</v>
      </c>
      <c r="J69">
        <f t="shared" si="3"/>
        <v>1</v>
      </c>
      <c r="K69">
        <f t="shared" si="4"/>
        <v>1</v>
      </c>
      <c r="L69">
        <f t="shared" si="5"/>
        <v>0.20615589107895338</v>
      </c>
      <c r="M69">
        <f t="shared" si="6"/>
        <v>-1.5791226435751349</v>
      </c>
    </row>
    <row r="70" spans="1:1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-1.6644847210567111</v>
      </c>
      <c r="I70">
        <f t="shared" si="2"/>
        <v>0.15916089471712497</v>
      </c>
      <c r="J70">
        <f t="shared" si="3"/>
        <v>0</v>
      </c>
      <c r="K70">
        <f t="shared" si="4"/>
        <v>0</v>
      </c>
      <c r="L70">
        <f t="shared" si="5"/>
        <v>0.84083910528287498</v>
      </c>
      <c r="M70">
        <f t="shared" si="6"/>
        <v>-0.17335495088761954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85.451800000000006</v>
      </c>
      <c r="G71">
        <v>0</v>
      </c>
      <c r="H71">
        <f t="shared" ref="H71:H92" si="7">$G$4+SUMPRODUCT($B$4:$F$4,B71:F71)</f>
        <v>-19.833499520906699</v>
      </c>
      <c r="I71">
        <f t="shared" ref="I71:I92" si="8">1/(1+EXP(0-H71))</f>
        <v>2.4345606611058978E-9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IF(L71=0,-1000000,LN(L71))</f>
        <v>-2.4345606671408972E-9</v>
      </c>
    </row>
    <row r="72" spans="1:13">
      <c r="A72">
        <v>67</v>
      </c>
      <c r="B72">
        <v>20.931899999999999</v>
      </c>
      <c r="C72">
        <v>27.724730999999998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2.3753039525252078</v>
      </c>
      <c r="I72">
        <f t="shared" si="8"/>
        <v>0.91492461690058957</v>
      </c>
      <c r="J72">
        <f t="shared" si="9"/>
        <v>1</v>
      </c>
      <c r="K72">
        <f t="shared" si="10"/>
        <v>0</v>
      </c>
      <c r="L72">
        <f t="shared" si="11"/>
        <v>0.91492461690058957</v>
      </c>
      <c r="M72">
        <f t="shared" si="12"/>
        <v>-8.891360300151549E-2</v>
      </c>
    </row>
    <row r="73" spans="1:1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-53.328082486112997</v>
      </c>
      <c r="I73">
        <f t="shared" si="8"/>
        <v>6.9168450341370565E-24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-0.52794643754045811</v>
      </c>
      <c r="I74">
        <f t="shared" si="8"/>
        <v>0.37099597609529672</v>
      </c>
      <c r="J74">
        <f t="shared" si="9"/>
        <v>0</v>
      </c>
      <c r="K74">
        <f t="shared" si="10"/>
        <v>0</v>
      </c>
      <c r="L74">
        <f t="shared" si="11"/>
        <v>0.62900402390470322</v>
      </c>
      <c r="M74">
        <f t="shared" si="12"/>
        <v>-0.46361762499738457</v>
      </c>
    </row>
    <row r="75" spans="1:1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-6.702206188360039</v>
      </c>
      <c r="I75">
        <f t="shared" si="8"/>
        <v>1.2266926495285396E-3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</row>
    <row r="76" spans="1:13">
      <c r="A76">
        <v>71</v>
      </c>
      <c r="B76">
        <v>120.726</v>
      </c>
      <c r="C76">
        <v>23.97214</v>
      </c>
      <c r="D76">
        <v>10.747151000000001</v>
      </c>
      <c r="E76">
        <v>12.663600000000001</v>
      </c>
      <c r="F76">
        <v>61.724400000000003</v>
      </c>
      <c r="G76">
        <v>0</v>
      </c>
      <c r="H76">
        <f t="shared" si="7"/>
        <v>0.16518746302554899</v>
      </c>
      <c r="I76">
        <f t="shared" si="8"/>
        <v>0.54120321600910082</v>
      </c>
      <c r="J76">
        <f t="shared" si="9"/>
        <v>1</v>
      </c>
      <c r="K76">
        <f t="shared" si="10"/>
        <v>1</v>
      </c>
      <c r="L76">
        <f t="shared" si="11"/>
        <v>0.45879678399089918</v>
      </c>
      <c r="M76">
        <f t="shared" si="12"/>
        <v>-0.77914790336156037</v>
      </c>
    </row>
    <row r="77" spans="1:13">
      <c r="A77">
        <v>72</v>
      </c>
      <c r="B77">
        <v>18.136849999999999</v>
      </c>
      <c r="C77">
        <v>42.192909999999998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2.2963839637173207</v>
      </c>
      <c r="I77">
        <f t="shared" si="8"/>
        <v>0.90857711731434543</v>
      </c>
      <c r="J77">
        <f t="shared" si="9"/>
        <v>1</v>
      </c>
      <c r="K77">
        <f t="shared" si="10"/>
        <v>0</v>
      </c>
      <c r="L77">
        <f t="shared" si="11"/>
        <v>0.90857711731434543</v>
      </c>
      <c r="M77">
        <f t="shared" si="12"/>
        <v>-9.5875510527849456E-2</v>
      </c>
    </row>
    <row r="78" spans="1:13">
      <c r="A78">
        <v>73</v>
      </c>
      <c r="B78">
        <v>44.603200000000001</v>
      </c>
      <c r="C78">
        <v>24.625838000000002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0.81526441447978604</v>
      </c>
      <c r="I78">
        <f t="shared" si="8"/>
        <v>0.69323018313633866</v>
      </c>
      <c r="J78">
        <f t="shared" si="9"/>
        <v>1</v>
      </c>
      <c r="K78">
        <f t="shared" si="10"/>
        <v>0</v>
      </c>
      <c r="L78">
        <f t="shared" si="11"/>
        <v>0.69323018313633866</v>
      </c>
      <c r="M78">
        <f t="shared" si="12"/>
        <v>-0.36639318034546886</v>
      </c>
    </row>
    <row r="79" spans="1:13">
      <c r="A79">
        <v>74</v>
      </c>
      <c r="B79">
        <v>78.210999999999999</v>
      </c>
      <c r="C79">
        <v>10.045871999999999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4.6324511294022486E-2</v>
      </c>
      <c r="I79">
        <f t="shared" si="8"/>
        <v>0.51157905721442576</v>
      </c>
      <c r="J79">
        <f t="shared" si="9"/>
        <v>1</v>
      </c>
      <c r="K79">
        <f t="shared" si="10"/>
        <v>0</v>
      </c>
      <c r="L79">
        <f t="shared" si="11"/>
        <v>0.51157905721442576</v>
      </c>
      <c r="M79">
        <f t="shared" si="12"/>
        <v>-0.67025314597455932</v>
      </c>
    </row>
    <row r="80" spans="1:1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-7.4529788812042774</v>
      </c>
      <c r="I80">
        <f t="shared" si="8"/>
        <v>5.7937627246192568E-4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</row>
    <row r="81" spans="1:13">
      <c r="A81">
        <v>76</v>
      </c>
      <c r="B81">
        <v>189.78100000000001</v>
      </c>
      <c r="C81">
        <v>35.808132999999998</v>
      </c>
      <c r="D81">
        <v>12.294055999999999</v>
      </c>
      <c r="E81">
        <v>135.55779999999999</v>
      </c>
      <c r="F81">
        <v>170.464</v>
      </c>
      <c r="G81">
        <v>0</v>
      </c>
      <c r="H81">
        <f t="shared" si="7"/>
        <v>-3.2141692837722644</v>
      </c>
      <c r="I81">
        <f t="shared" si="8"/>
        <v>3.8635975532899762E-2</v>
      </c>
      <c r="J81">
        <f t="shared" si="9"/>
        <v>0</v>
      </c>
      <c r="K81">
        <f t="shared" si="10"/>
        <v>0</v>
      </c>
      <c r="L81">
        <f t="shared" si="11"/>
        <v>0.96136402446710023</v>
      </c>
      <c r="M81">
        <f t="shared" si="12"/>
        <v>-3.9402144165107761E-2</v>
      </c>
    </row>
    <row r="82" spans="1:13">
      <c r="A82">
        <v>77</v>
      </c>
      <c r="B82">
        <v>267.40940000000001</v>
      </c>
      <c r="C82">
        <v>43.604456999999996</v>
      </c>
      <c r="D82">
        <v>6.1782729999999999</v>
      </c>
      <c r="E82">
        <v>135.9332</v>
      </c>
      <c r="F82">
        <v>206.05850000000001</v>
      </c>
      <c r="G82">
        <v>0</v>
      </c>
      <c r="H82">
        <f t="shared" si="7"/>
        <v>-4.3986564989994346</v>
      </c>
      <c r="I82">
        <f t="shared" si="8"/>
        <v>1.2144542476572933E-2</v>
      </c>
      <c r="J82">
        <f t="shared" si="9"/>
        <v>0</v>
      </c>
      <c r="K82">
        <f t="shared" si="10"/>
        <v>0</v>
      </c>
      <c r="L82">
        <f t="shared" si="11"/>
        <v>0.98785545752342707</v>
      </c>
      <c r="M82">
        <f t="shared" si="12"/>
        <v>-1.2218889990084749E-2</v>
      </c>
    </row>
    <row r="83" spans="1:1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-12.105247512725258</v>
      </c>
      <c r="I83">
        <f t="shared" si="8"/>
        <v>5.5303854505839445E-6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</row>
    <row r="84" spans="1:1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-5.7237932693070803</v>
      </c>
      <c r="I84">
        <f t="shared" si="8"/>
        <v>3.2566531992473816E-3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</row>
    <row r="85" spans="1:1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0.12191720072127588</v>
      </c>
      <c r="I85">
        <f t="shared" si="8"/>
        <v>0.53044160301675136</v>
      </c>
      <c r="J85">
        <f t="shared" si="9"/>
        <v>1</v>
      </c>
      <c r="K85">
        <f t="shared" si="10"/>
        <v>1</v>
      </c>
      <c r="L85">
        <f t="shared" si="11"/>
        <v>0.46955839698324864</v>
      </c>
      <c r="M85">
        <f t="shared" si="12"/>
        <v>-0.75596260684754524</v>
      </c>
    </row>
    <row r="86" spans="1:1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0.28097571448396463</v>
      </c>
      <c r="I86">
        <f t="shared" si="8"/>
        <v>0.56978541709419128</v>
      </c>
      <c r="J86">
        <f t="shared" si="9"/>
        <v>1</v>
      </c>
      <c r="K86">
        <f t="shared" si="10"/>
        <v>1</v>
      </c>
      <c r="L86">
        <f t="shared" si="11"/>
        <v>0.43021458290580872</v>
      </c>
      <c r="M86">
        <f t="shared" si="12"/>
        <v>-0.84347116475508832</v>
      </c>
    </row>
    <row r="87" spans="1:13">
      <c r="A87">
        <v>82</v>
      </c>
      <c r="B87">
        <v>220.82634999999999</v>
      </c>
      <c r="C87">
        <v>17.761026999999999</v>
      </c>
      <c r="D87">
        <v>3.0764939999999998</v>
      </c>
      <c r="E87">
        <v>217.75540000000001</v>
      </c>
      <c r="F87">
        <v>235.73929999999999</v>
      </c>
      <c r="G87">
        <v>1</v>
      </c>
      <c r="H87">
        <f t="shared" si="7"/>
        <v>-3.9364363009271024</v>
      </c>
      <c r="I87">
        <f t="shared" si="8"/>
        <v>1.9144000155229983E-2</v>
      </c>
      <c r="J87">
        <f t="shared" si="9"/>
        <v>0</v>
      </c>
      <c r="K87">
        <f t="shared" si="10"/>
        <v>1</v>
      </c>
      <c r="L87">
        <f t="shared" si="11"/>
        <v>1.9144000155229983E-2</v>
      </c>
      <c r="M87">
        <f t="shared" si="12"/>
        <v>-3.9557659202675199</v>
      </c>
    </row>
    <row r="88" spans="1:1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-0.66328468977475641</v>
      </c>
      <c r="I88">
        <f t="shared" si="8"/>
        <v>0.34000213800466711</v>
      </c>
      <c r="J88">
        <f t="shared" si="9"/>
        <v>0</v>
      </c>
      <c r="K88">
        <f t="shared" si="10"/>
        <v>1</v>
      </c>
      <c r="L88">
        <f t="shared" si="11"/>
        <v>0.34000213800466711</v>
      </c>
      <c r="M88">
        <f t="shared" si="12"/>
        <v>-1.07880337314268</v>
      </c>
    </row>
    <row r="89" spans="1:1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1.7267191722579871</v>
      </c>
      <c r="I89">
        <f t="shared" si="8"/>
        <v>0.84899228517618641</v>
      </c>
      <c r="J89">
        <f t="shared" si="9"/>
        <v>1</v>
      </c>
      <c r="K89">
        <f t="shared" si="10"/>
        <v>0</v>
      </c>
      <c r="L89">
        <f t="shared" si="11"/>
        <v>0.84899228517618641</v>
      </c>
      <c r="M89">
        <f t="shared" si="12"/>
        <v>-0.16370517966592038</v>
      </c>
    </row>
    <row r="90" spans="1:1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-24.787695656700691</v>
      </c>
      <c r="I90">
        <f t="shared" si="8"/>
        <v>1.7172778061170602E-11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</row>
    <row r="91" spans="1:13">
      <c r="A91">
        <v>86</v>
      </c>
      <c r="B91">
        <v>192.02699999999999</v>
      </c>
      <c r="C91">
        <v>30.881526999999998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-3.2932812337693083</v>
      </c>
      <c r="I91">
        <f t="shared" si="8"/>
        <v>3.5802403066228998E-2</v>
      </c>
      <c r="J91">
        <f t="shared" si="9"/>
        <v>0</v>
      </c>
      <c r="K91">
        <f t="shared" si="10"/>
        <v>0</v>
      </c>
      <c r="L91">
        <f t="shared" si="11"/>
        <v>0.96419759693377105</v>
      </c>
      <c r="M91">
        <f t="shared" si="12"/>
        <v>-3.645902930393969E-2</v>
      </c>
    </row>
    <row r="92" spans="1:1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-2.5229622441192134</v>
      </c>
      <c r="I92">
        <f t="shared" si="8"/>
        <v>7.4264037164897448E-2</v>
      </c>
      <c r="J92">
        <f t="shared" si="9"/>
        <v>0</v>
      </c>
      <c r="K92">
        <f t="shared" si="10"/>
        <v>0</v>
      </c>
      <c r="L92">
        <f t="shared" si="11"/>
        <v>0.92573596283510251</v>
      </c>
      <c r="M92">
        <f t="shared" si="12"/>
        <v>-7.7166222322437625E-2</v>
      </c>
    </row>
    <row r="95" spans="1:13">
      <c r="A95" s="2" t="s">
        <v>21</v>
      </c>
      <c r="B95" s="2"/>
      <c r="C95" s="2"/>
      <c r="D95" s="2"/>
      <c r="E95" s="2"/>
      <c r="F95" s="2"/>
      <c r="G95" s="2"/>
      <c r="H95" s="2"/>
      <c r="I95" s="2"/>
      <c r="J95" s="2"/>
    </row>
    <row r="96" spans="1:13">
      <c r="A96" s="1" t="s">
        <v>8</v>
      </c>
      <c r="B96" s="1" t="s">
        <v>9</v>
      </c>
      <c r="C96" s="1" t="s">
        <v>10</v>
      </c>
      <c r="D96" s="1" t="s">
        <v>11</v>
      </c>
      <c r="E96" s="1" t="s">
        <v>12</v>
      </c>
      <c r="F96" s="1" t="s">
        <v>13</v>
      </c>
      <c r="G96" s="1"/>
      <c r="H96" s="1" t="s">
        <v>15</v>
      </c>
      <c r="I96" s="1" t="s">
        <v>16</v>
      </c>
      <c r="J96" s="1" t="s">
        <v>17</v>
      </c>
    </row>
    <row r="97" spans="1:10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$G$4+SUMPRODUCT($B$4:$F$4,B97:F97)</f>
        <v>2.0487035140485332E-2</v>
      </c>
      <c r="I97">
        <f>1/(1+EXP(0-H97))</f>
        <v>0.50512157965118387</v>
      </c>
      <c r="J97">
        <f>IF(I97&lt;=0.5,0,1)</f>
        <v>1</v>
      </c>
    </row>
    <row r="98" spans="1:10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3">$G$4+SUMPRODUCT($B$4:$F$4,B98:F98)</f>
        <v>-8.3680716664825656</v>
      </c>
      <c r="I98">
        <f t="shared" ref="I98:I101" si="14">1/(1+EXP(0-H98))</f>
        <v>2.3210892263797448E-4</v>
      </c>
      <c r="J98">
        <f t="shared" ref="J98:J101" si="15">IF(I98&lt;=0.5,0,1)</f>
        <v>0</v>
      </c>
    </row>
    <row r="99" spans="1:10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3"/>
        <v>-2.2666067773639877</v>
      </c>
      <c r="I99">
        <f t="shared" si="14"/>
        <v>9.392659273776735E-2</v>
      </c>
      <c r="J99">
        <f t="shared" si="15"/>
        <v>0</v>
      </c>
    </row>
    <row r="100" spans="1:10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3"/>
        <v>-3.8051508613354006</v>
      </c>
      <c r="I100">
        <f t="shared" si="14"/>
        <v>2.1771300793853594E-2</v>
      </c>
      <c r="J100">
        <f t="shared" si="15"/>
        <v>0</v>
      </c>
    </row>
    <row r="101" spans="1:10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3"/>
        <v>0.8894214360738415</v>
      </c>
      <c r="I101">
        <f t="shared" si="14"/>
        <v>0.70877076285369423</v>
      </c>
      <c r="J101">
        <f t="shared" si="15"/>
        <v>1</v>
      </c>
    </row>
  </sheetData>
  <mergeCells count="1">
    <mergeCell ref="A95:J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Vỹ Trần Chí</cp:lastModifiedBy>
  <dcterms:created xsi:type="dcterms:W3CDTF">2015-06-05T18:17:00Z</dcterms:created>
  <dcterms:modified xsi:type="dcterms:W3CDTF">2025-11-20T03:03:06Z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932CAFEB12DC40528884130124E98C74_12</vt:lpwstr>
  </property>
  <property fmtid="{D5CDD505-2E9C-101B-9397-08002B2CF9AE}" pid="3" name="KSOProductBuildVer">
    <vt:lpwstr>1033-12.2.0.23155</vt:lpwstr>
  </property>
</Properties>
</file>