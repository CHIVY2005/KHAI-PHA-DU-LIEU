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LR-log-likelihoods" sheetId="1" r:id="rId1"/>
    <sheet name="LR-log-loss" sheetId="2" r:id="rId2"/>
  </sheets>
  <definedNames>
    <definedName name="Heart_disease_processed_cleveland___Copy" localSheetId="0">'LR-log-likelihoods'!$A$6:$N$302</definedName>
    <definedName name="Heart_disease_processed_cleveland___Copy" localSheetId="1">'LR-log-loss'!$A$6:$N$302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Heart-disease-processed-cleveland - Copy" type="6" background="1" refreshedVersion="2" saveData="1">
    <textPr sourceFile="I:\HealthInformaticsCertificate\HINF539-MGMT539\Hong\Week4\Heart-disease-processed-cleveland - Copy.data" tab="0" comma="1">
      <textFields>
        <textField/>
      </textFields>
    </textPr>
  </connection>
  <connection id="2" name="Heart-disease-processed-cleveland - Copy1" type="6" background="1" refreshedVersion="2" saveData="1">
    <textPr sourceFile="I:\HealthInformaticsCertificate\HINF539-MGMT539\Hong\Week4\Heart-disease-processed-cleveland - Copy.data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<sst xmlns="http://schemas.openxmlformats.org/spreadsheetml/2006/main" count="76" uniqueCount="40">
  <si>
    <t>To-maximize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</si>
  <si>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</si>
  <si>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</si>
  <si>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</si>
  <si>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</si>
  <si>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</si>
  <si>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</si>
  <si>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</si>
  <si>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</si>
  <si>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</si>
  <si>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</si>
  <si>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</si>
  <si>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</si>
  <si>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</si>
  <si>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</si>
  <si>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total Diff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</si>
  <si>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</si>
  <si>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</si>
  <si>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</si>
  <si>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</si>
  <si>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</si>
  <si>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</si>
  <si>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</si>
  <si>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</si>
  <si>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</si>
  <si>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</si>
  <si>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</si>
  <si>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</si>
  <si>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</si>
  <si>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</si>
  <si>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m1x1+m2x2+…+b</t>
  </si>
  <si>
    <t>P(1)</t>
  </si>
  <si>
    <t>Outcome</t>
  </si>
  <si>
    <t>Difference</t>
  </si>
  <si>
    <t>Likilyhood</t>
  </si>
  <si>
    <t>Ln(Likilyhood)</t>
  </si>
  <si>
    <t>Scoring Dataset</t>
  </si>
  <si>
    <t>outcome</t>
  </si>
  <si>
    <t>To-minimize</t>
  </si>
  <si>
    <t>Log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</si>
</sst>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0</xdr:colOff>
      <xdr:row>5</xdr:row>
      <xdr:rowOff>0</xdr:rowOff>
    </xdr:from>
    <xdr:to>
      <xdr:col>30</xdr:col>
      <xdr:colOff>95250</xdr:colOff>
      <xdr:row>28</xdr:row>
      <xdr:rowOff>133350</xdr:rowOff>
    </xdr:to>
    <xdr:sp>
      <xdr:nvSpPr>
        <xdr:cNvPr id="3" name="TextBox 2"/>
        <xdr:cNvSpPr txBox="1"/>
      </xdr:nvSpPr>
      <xdr:spPr>
        <a:xfrm>
          <a:off x="11068050" y="914400"/>
          <a:ext cx="5650230" cy="433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  <a:endParaRPr lang="en-US" sz="1100"/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  <a:endParaRPr lang="en-US" sz="1100"/>
        </a:p>
        <a:p>
          <a:r>
            <a:rPr lang="en-US" sz="1100"/>
            <a:t>2. #4 (sex)</a:t>
          </a:r>
          <a:endParaRPr lang="en-US" sz="1100"/>
        </a:p>
        <a:p>
          <a:r>
            <a:rPr lang="en-US" sz="1100"/>
            <a:t>3. #9 (cp)</a:t>
          </a:r>
          <a:endParaRPr lang="en-US" sz="1100"/>
        </a:p>
        <a:p>
          <a:r>
            <a:rPr lang="en-US" sz="1100"/>
            <a:t>4. #10 (trestbps)</a:t>
          </a:r>
          <a:endParaRPr lang="en-US" sz="1100"/>
        </a:p>
        <a:p>
          <a:r>
            <a:rPr lang="en-US" sz="1100"/>
            <a:t>5. #12 (chol)</a:t>
          </a:r>
          <a:endParaRPr lang="en-US" sz="1100"/>
        </a:p>
        <a:p>
          <a:r>
            <a:rPr lang="en-US" sz="1100"/>
            <a:t>6. #16 (fbs) </a:t>
          </a:r>
          <a:endParaRPr lang="en-US" sz="1100"/>
        </a:p>
        <a:p>
          <a:r>
            <a:rPr lang="en-US" sz="1100"/>
            <a:t>7. #19 (restecg)</a:t>
          </a:r>
          <a:endParaRPr lang="en-US" sz="1100"/>
        </a:p>
        <a:p>
          <a:r>
            <a:rPr lang="en-US" sz="1100"/>
            <a:t>8. #32 (thalach) </a:t>
          </a:r>
          <a:endParaRPr lang="en-US" sz="1100"/>
        </a:p>
        <a:p>
          <a:r>
            <a:rPr lang="en-US" sz="1100"/>
            <a:t>9. #38 (exang) </a:t>
          </a:r>
          <a:endParaRPr lang="en-US" sz="1100"/>
        </a:p>
        <a:p>
          <a:r>
            <a:rPr lang="en-US" sz="1100"/>
            <a:t>10. #40 (oldpeak) </a:t>
          </a:r>
          <a:endParaRPr lang="en-US" sz="1100"/>
        </a:p>
        <a:p>
          <a:r>
            <a:rPr lang="en-US" sz="1100"/>
            <a:t>11. #41 (slope) </a:t>
          </a:r>
          <a:endParaRPr lang="en-US" sz="1100"/>
        </a:p>
        <a:p>
          <a:r>
            <a:rPr lang="en-US" sz="1100"/>
            <a:t>12. #44 (ca)</a:t>
          </a:r>
          <a:endParaRPr lang="en-US" sz="1100"/>
        </a:p>
        <a:p>
          <a:r>
            <a:rPr lang="en-US" sz="1100"/>
            <a:t>13. #51 (thal)</a:t>
          </a:r>
          <a:endParaRPr lang="en-US" sz="1100"/>
        </a:p>
        <a:p>
          <a:r>
            <a:rPr lang="en-US" sz="1100"/>
            <a:t>14. #58 (num) (the predicted attribute). It is in fact diagnosis of heart disease (angiographic disease status)</a:t>
          </a:r>
          <a:endParaRPr lang="en-US" sz="1100"/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</a:t>
          </a:r>
          <a:endParaRPr lang="en-US" sz="1100" baseline="0"/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0</xdr:colOff>
      <xdr:row>5</xdr:row>
      <xdr:rowOff>0</xdr:rowOff>
    </xdr:from>
    <xdr:to>
      <xdr:col>30</xdr:col>
      <xdr:colOff>95250</xdr:colOff>
      <xdr:row>28</xdr:row>
      <xdr:rowOff>133350</xdr:rowOff>
    </xdr:to>
    <xdr:sp>
      <xdr:nvSpPr>
        <xdr:cNvPr id="2" name="TextBox 1"/>
        <xdr:cNvSpPr txBox="1"/>
      </xdr:nvSpPr>
      <xdr:spPr>
        <a:xfrm>
          <a:off x="11068050" y="914400"/>
          <a:ext cx="5650230" cy="433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  <a:endParaRPr lang="en-US" sz="1100"/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  <a:endParaRPr lang="en-US" sz="1100"/>
        </a:p>
        <a:p>
          <a:r>
            <a:rPr lang="en-US" sz="1100"/>
            <a:t>2. #4 (sex)</a:t>
          </a:r>
          <a:endParaRPr lang="en-US" sz="1100"/>
        </a:p>
        <a:p>
          <a:r>
            <a:rPr lang="en-US" sz="1100"/>
            <a:t>3. #9 (cp)</a:t>
          </a:r>
          <a:endParaRPr lang="en-US" sz="1100"/>
        </a:p>
        <a:p>
          <a:r>
            <a:rPr lang="en-US" sz="1100"/>
            <a:t>4. #10 (trestbps)</a:t>
          </a:r>
          <a:endParaRPr lang="en-US" sz="1100"/>
        </a:p>
        <a:p>
          <a:r>
            <a:rPr lang="en-US" sz="1100"/>
            <a:t>5. #12 (chol)</a:t>
          </a:r>
          <a:endParaRPr lang="en-US" sz="1100"/>
        </a:p>
        <a:p>
          <a:r>
            <a:rPr lang="en-US" sz="1100"/>
            <a:t>6. #16 (fbs) </a:t>
          </a:r>
          <a:endParaRPr lang="en-US" sz="1100"/>
        </a:p>
        <a:p>
          <a:r>
            <a:rPr lang="en-US" sz="1100"/>
            <a:t>7. #19 (restecg)</a:t>
          </a:r>
          <a:endParaRPr lang="en-US" sz="1100"/>
        </a:p>
        <a:p>
          <a:r>
            <a:rPr lang="en-US" sz="1100"/>
            <a:t>8. #32 (thalach) </a:t>
          </a:r>
          <a:endParaRPr lang="en-US" sz="1100"/>
        </a:p>
        <a:p>
          <a:r>
            <a:rPr lang="en-US" sz="1100"/>
            <a:t>9. #38 (exang) </a:t>
          </a:r>
          <a:endParaRPr lang="en-US" sz="1100"/>
        </a:p>
        <a:p>
          <a:r>
            <a:rPr lang="en-US" sz="1100"/>
            <a:t>10. #40 (oldpeak) </a:t>
          </a:r>
          <a:endParaRPr lang="en-US" sz="1100"/>
        </a:p>
        <a:p>
          <a:r>
            <a:rPr lang="en-US" sz="1100"/>
            <a:t>11. #41 (slope) </a:t>
          </a:r>
          <a:endParaRPr lang="en-US" sz="1100"/>
        </a:p>
        <a:p>
          <a:r>
            <a:rPr lang="en-US" sz="1100"/>
            <a:t>12. #44 (ca)</a:t>
          </a:r>
          <a:endParaRPr lang="en-US" sz="1100"/>
        </a:p>
        <a:p>
          <a:r>
            <a:rPr lang="en-US" sz="1100"/>
            <a:t>13. #51 (thal)</a:t>
          </a:r>
          <a:endParaRPr lang="en-US" sz="1100"/>
        </a:p>
        <a:p>
          <a:r>
            <a:rPr lang="en-US" sz="1100"/>
            <a:t>14. #58 (num) (the predicted attribute). It is in fact diagnosis of heart disease (angiographic disease status)</a:t>
          </a:r>
          <a:endParaRPr lang="en-US" sz="1100"/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</a:t>
          </a:r>
          <a:endParaRPr lang="en-US" sz="1100" baseline="0"/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Heart-disease-processed-cleveland - Copy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Heart-disease-processed-cleveland - Copy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7"/>
  <sheetViews>
    <sheetView tabSelected="1" topLeftCell="N1" workbookViewId="0">
      <selection activeCell="O312" sqref="O312"/>
    </sheetView>
  </sheetViews>
  <sheetFormatPr defaultColWidth="9" defaultRowHeight="14.4"/>
  <cols>
    <col min="1" max="1" width="7.57407407407407" customWidth="1"/>
    <col min="2" max="2" width="6.42592592592593" customWidth="1"/>
    <col min="3" max="3" width="6.85185185185185" customWidth="1"/>
    <col min="4" max="4" width="7.57407407407407" customWidth="1"/>
    <col min="5" max="5" width="6.85185185185185" customWidth="1"/>
    <col min="6" max="6" width="5.42592592592593" customWidth="1"/>
    <col min="7" max="7" width="6.71296296296296" customWidth="1"/>
    <col min="8" max="8" width="6.85185185185185" customWidth="1"/>
    <col min="9" max="9" width="5.71296296296296" customWidth="1"/>
    <col min="10" max="10" width="7.42592592592593" customWidth="1"/>
    <col min="11" max="11" width="5.28703703703704" customWidth="1"/>
    <col min="12" max="12" width="5.13888888888889" customWidth="1"/>
    <col min="13" max="13" width="5.85185185185185" customWidth="1"/>
    <col min="14" max="14" width="6.57407407407407" customWidth="1"/>
    <col min="15" max="15" width="10.8518518518519" customWidth="1"/>
    <col min="19" max="19" width="11.8518518518519" customWidth="1"/>
    <col min="20" max="20" width="12.4259259259259" customWidth="1"/>
  </cols>
  <sheetData>
    <row r="1" spans="1:20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0</v>
      </c>
      <c r="T1">
        <f>SUM(T6:T302)</f>
        <v>-102.344351934402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8">
      <c r="A3">
        <f>INDEX(LINEST($N6:$N302,$A6:$M302),1,A1)</f>
        <v>-0.00122820468862264</v>
      </c>
      <c r="B3">
        <f t="shared" ref="B3:N3" si="0">INDEX(LINEST($N6:$N302,$A6:$M302),1,B1)</f>
        <v>0.145691831785592</v>
      </c>
      <c r="C3">
        <f t="shared" si="0"/>
        <v>0.0827632326700133</v>
      </c>
      <c r="D3">
        <f t="shared" si="0"/>
        <v>0.00213617413266541</v>
      </c>
      <c r="E3">
        <f t="shared" si="0"/>
        <v>0.00035489886662414</v>
      </c>
      <c r="F3">
        <f t="shared" si="0"/>
        <v>-0.0982382913374933</v>
      </c>
      <c r="G3">
        <f t="shared" si="0"/>
        <v>0.0326577064155736</v>
      </c>
      <c r="H3">
        <f t="shared" si="0"/>
        <v>-0.00262619530834747</v>
      </c>
      <c r="I3">
        <f t="shared" si="0"/>
        <v>0.134753064166301</v>
      </c>
      <c r="J3">
        <f t="shared" si="0"/>
        <v>0.0324280484938872</v>
      </c>
      <c r="K3">
        <f t="shared" si="0"/>
        <v>0.061034589201355</v>
      </c>
      <c r="L3">
        <f t="shared" si="0"/>
        <v>0.143198724250292</v>
      </c>
      <c r="M3">
        <f t="shared" si="0"/>
        <v>0.0606236615301144</v>
      </c>
      <c r="N3">
        <f t="shared" si="0"/>
        <v>-0.386031113499561</v>
      </c>
      <c r="Q3" t="s">
        <v>15</v>
      </c>
      <c r="R3">
        <f>SUM(R6:R302)</f>
        <v>45</v>
      </c>
    </row>
    <row r="4" spans="1:14">
      <c r="A4">
        <v>-0.0141601835869711</v>
      </c>
      <c r="B4">
        <v>1.3121170501406</v>
      </c>
      <c r="C4">
        <v>0.575915992076802</v>
      </c>
      <c r="D4">
        <v>0.024044639685715</v>
      </c>
      <c r="E4">
        <v>0.00499548614563476</v>
      </c>
      <c r="F4">
        <v>-1.02193738071724</v>
      </c>
      <c r="G4">
        <v>0.245152495196913</v>
      </c>
      <c r="H4">
        <v>-0.0206639054430376</v>
      </c>
      <c r="I4">
        <v>0.926118081602059</v>
      </c>
      <c r="J4">
        <v>0.247385507509836</v>
      </c>
      <c r="K4">
        <v>0.570038175298858</v>
      </c>
      <c r="L4">
        <v>1.26772167918269</v>
      </c>
      <c r="M4">
        <v>0.343936409422672</v>
      </c>
      <c r="N4">
        <v>-7.37273746047852</v>
      </c>
    </row>
    <row r="5" spans="1:20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s="1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2.3</v>
      </c>
      <c r="K6">
        <v>3</v>
      </c>
      <c r="L6">
        <v>0</v>
      </c>
      <c r="M6">
        <v>6</v>
      </c>
      <c r="N6">
        <v>0</v>
      </c>
      <c r="O6">
        <f>SUMPRODUCT(A$4:M$4,A6:M6)+N$4</f>
        <v>-1.01487351495255</v>
      </c>
      <c r="P6">
        <f>1/(1+EXP(0-O6))</f>
        <v>0.266027179802952</v>
      </c>
      <c r="Q6">
        <f>IF(P6&lt;=0.5,0,1)</f>
        <v>0</v>
      </c>
      <c r="R6">
        <f>IF(N6=Q6,0,1)</f>
        <v>0</v>
      </c>
      <c r="S6">
        <f>IF(N6=1,P6,1-P6)</f>
        <v>0.733972820197048</v>
      </c>
      <c r="T6">
        <f>IF(S6=0,-100000,LN(S6))</f>
        <v>-0.309283280757532</v>
      </c>
    </row>
    <row r="7" spans="1:20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SUMPRODUCT(A$4:M$4,A7:M7)+N$4</f>
        <v>6.10101280683454</v>
      </c>
      <c r="P7">
        <f t="shared" ref="P7:P70" si="2">1/(1+EXP(0-O7))</f>
        <v>0.997764411775206</v>
      </c>
      <c r="Q7">
        <f t="shared" ref="Q7:Q70" si="3">IF(P7&lt;=0.5,0,1)</f>
        <v>1</v>
      </c>
      <c r="R7">
        <f t="shared" ref="R7:R70" si="4">IF(N7=Q7,0,1)</f>
        <v>0</v>
      </c>
      <c r="S7">
        <f t="shared" ref="S7:S70" si="5">IF(N7=1,P7,1-P7)</f>
        <v>0.997764411775206</v>
      </c>
      <c r="T7">
        <f t="shared" ref="T7:T70" si="6">IF(S7=0,-100000,LN(S7))</f>
        <v>-0.00223809088278649</v>
      </c>
    </row>
    <row r="8" spans="1:20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4.80069051156979</v>
      </c>
      <c r="P8">
        <f t="shared" si="2"/>
        <v>0.991843017291388</v>
      </c>
      <c r="Q8">
        <f t="shared" si="3"/>
        <v>1</v>
      </c>
      <c r="R8">
        <f t="shared" si="4"/>
        <v>0</v>
      </c>
      <c r="S8">
        <f t="shared" si="5"/>
        <v>0.991843017291388</v>
      </c>
      <c r="T8">
        <f t="shared" si="6"/>
        <v>-0.00819043291810866</v>
      </c>
    </row>
    <row r="9" spans="1:20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</v>
      </c>
      <c r="P9">
        <f t="shared" si="2"/>
        <v>0.323331841603077</v>
      </c>
      <c r="Q9">
        <f t="shared" si="3"/>
        <v>0</v>
      </c>
      <c r="R9">
        <f t="shared" si="4"/>
        <v>0</v>
      </c>
      <c r="S9">
        <f t="shared" si="5"/>
        <v>0.676668158396923</v>
      </c>
      <c r="T9">
        <f t="shared" si="6"/>
        <v>-0.390574291089371</v>
      </c>
    </row>
    <row r="10" spans="1:20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-3.77229030226629</v>
      </c>
      <c r="P10">
        <f t="shared" si="2"/>
        <v>0.0224822508573424</v>
      </c>
      <c r="Q10">
        <f t="shared" si="3"/>
        <v>0</v>
      </c>
      <c r="R10">
        <f t="shared" si="4"/>
        <v>0</v>
      </c>
      <c r="S10">
        <f t="shared" si="5"/>
        <v>0.977517749142658</v>
      </c>
      <c r="T10">
        <f t="shared" si="6"/>
        <v>-0.0227388295967667</v>
      </c>
    </row>
    <row r="11" spans="1:20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-3.51588657368505</v>
      </c>
      <c r="P11">
        <f t="shared" si="2"/>
        <v>0.0288635740098056</v>
      </c>
      <c r="Q11">
        <f t="shared" si="3"/>
        <v>0</v>
      </c>
      <c r="R11">
        <f t="shared" si="4"/>
        <v>0</v>
      </c>
      <c r="S11">
        <f t="shared" si="5"/>
        <v>0.971136425990194</v>
      </c>
      <c r="T11">
        <f t="shared" si="6"/>
        <v>-0.029288320055249</v>
      </c>
    </row>
    <row r="12" spans="1:20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</v>
      </c>
      <c r="P12">
        <f t="shared" si="2"/>
        <v>0.891878086288611</v>
      </c>
      <c r="Q12">
        <f t="shared" si="3"/>
        <v>1</v>
      </c>
      <c r="R12">
        <f t="shared" si="4"/>
        <v>0</v>
      </c>
      <c r="S12">
        <f t="shared" si="5"/>
        <v>0.891878086288611</v>
      </c>
      <c r="T12">
        <f t="shared" si="6"/>
        <v>-0.114425830307285</v>
      </c>
    </row>
    <row r="13" spans="1:20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</v>
      </c>
      <c r="P13">
        <f t="shared" si="2"/>
        <v>0.128502470951157</v>
      </c>
      <c r="Q13">
        <f t="shared" si="3"/>
        <v>0</v>
      </c>
      <c r="R13">
        <f t="shared" si="4"/>
        <v>0</v>
      </c>
      <c r="S13">
        <f t="shared" si="5"/>
        <v>0.871497529048843</v>
      </c>
      <c r="T13">
        <f t="shared" si="6"/>
        <v>-0.137542249311402</v>
      </c>
    </row>
    <row r="14" spans="1:20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</v>
      </c>
      <c r="P14">
        <f t="shared" si="2"/>
        <v>0.913726761611946</v>
      </c>
      <c r="Q14">
        <f t="shared" si="3"/>
        <v>1</v>
      </c>
      <c r="R14">
        <f t="shared" si="4"/>
        <v>0</v>
      </c>
      <c r="S14">
        <f t="shared" si="5"/>
        <v>0.913726761611946</v>
      </c>
      <c r="T14">
        <f t="shared" si="6"/>
        <v>-0.0902237001299757</v>
      </c>
    </row>
    <row r="15" spans="1:20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1.94903188416736</v>
      </c>
      <c r="P15">
        <f t="shared" si="2"/>
        <v>0.87534104026191</v>
      </c>
      <c r="Q15">
        <f t="shared" si="3"/>
        <v>1</v>
      </c>
      <c r="R15">
        <f t="shared" si="4"/>
        <v>0</v>
      </c>
      <c r="S15">
        <f t="shared" si="5"/>
        <v>0.87534104026191</v>
      </c>
      <c r="T15">
        <f t="shared" si="6"/>
        <v>-0.133141708262011</v>
      </c>
    </row>
    <row r="16" spans="1:20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0.00568699404202277</v>
      </c>
      <c r="P16">
        <f t="shared" si="2"/>
        <v>0.501421744678681</v>
      </c>
      <c r="Q16">
        <f t="shared" si="3"/>
        <v>1</v>
      </c>
      <c r="R16">
        <f t="shared" si="4"/>
        <v>1</v>
      </c>
      <c r="S16">
        <f t="shared" si="5"/>
        <v>0.498578255321319</v>
      </c>
      <c r="T16">
        <f t="shared" si="6"/>
        <v>-0.695994720313163</v>
      </c>
    </row>
    <row r="17" spans="1:20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-2.35673907814099</v>
      </c>
      <c r="P17">
        <f t="shared" si="2"/>
        <v>0.0865316031385552</v>
      </c>
      <c r="Q17">
        <f t="shared" si="3"/>
        <v>0</v>
      </c>
      <c r="R17">
        <f t="shared" si="4"/>
        <v>0</v>
      </c>
      <c r="S17">
        <f t="shared" si="5"/>
        <v>0.913468396861445</v>
      </c>
      <c r="T17">
        <f t="shared" si="6"/>
        <v>-0.0905064994259625</v>
      </c>
    </row>
    <row r="18" spans="1:20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</v>
      </c>
      <c r="P18">
        <f t="shared" si="2"/>
        <v>0.79557497447025</v>
      </c>
      <c r="Q18">
        <f t="shared" si="3"/>
        <v>1</v>
      </c>
      <c r="R18">
        <f t="shared" si="4"/>
        <v>0</v>
      </c>
      <c r="S18">
        <f t="shared" si="5"/>
        <v>0.79557497447025</v>
      </c>
      <c r="T18">
        <f t="shared" si="6"/>
        <v>-0.228690187411252</v>
      </c>
    </row>
    <row r="19" spans="1:20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-1.92992948581125</v>
      </c>
      <c r="P19">
        <f t="shared" si="2"/>
        <v>0.126758385181416</v>
      </c>
      <c r="Q19">
        <f t="shared" si="3"/>
        <v>0</v>
      </c>
      <c r="R19">
        <f t="shared" si="4"/>
        <v>0</v>
      </c>
      <c r="S19">
        <f t="shared" si="5"/>
        <v>0.873241614818584</v>
      </c>
      <c r="T19">
        <f t="shared" si="6"/>
        <v>-0.135542997610312</v>
      </c>
    </row>
    <row r="20" spans="1:20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-1.20762647918257</v>
      </c>
      <c r="P20">
        <f t="shared" si="2"/>
        <v>0.230121287524442</v>
      </c>
      <c r="Q20">
        <f t="shared" si="3"/>
        <v>0</v>
      </c>
      <c r="R20">
        <f t="shared" si="4"/>
        <v>0</v>
      </c>
      <c r="S20">
        <f t="shared" si="5"/>
        <v>0.769878712475558</v>
      </c>
      <c r="T20">
        <f t="shared" si="6"/>
        <v>-0.261522292806907</v>
      </c>
    </row>
    <row r="21" spans="1:20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</v>
      </c>
      <c r="P21">
        <f t="shared" si="2"/>
        <v>0.0917943071573566</v>
      </c>
      <c r="Q21">
        <f t="shared" si="3"/>
        <v>0</v>
      </c>
      <c r="R21">
        <f t="shared" si="4"/>
        <v>0</v>
      </c>
      <c r="S21">
        <f t="shared" si="5"/>
        <v>0.908205692842643</v>
      </c>
      <c r="T21">
        <f t="shared" si="6"/>
        <v>-0.0962843920681197</v>
      </c>
    </row>
    <row r="22" spans="1:20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</v>
      </c>
      <c r="P22">
        <f t="shared" si="2"/>
        <v>0.287802298909793</v>
      </c>
      <c r="Q22">
        <f t="shared" si="3"/>
        <v>0</v>
      </c>
      <c r="R22">
        <f t="shared" si="4"/>
        <v>1</v>
      </c>
      <c r="S22">
        <f t="shared" si="5"/>
        <v>0.287802298909793</v>
      </c>
      <c r="T22">
        <f t="shared" si="6"/>
        <v>-1.24548149668797</v>
      </c>
    </row>
    <row r="23" spans="1:20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-1.36895046922769</v>
      </c>
      <c r="P23">
        <f t="shared" si="2"/>
        <v>0.202789466841407</v>
      </c>
      <c r="Q23">
        <f t="shared" si="3"/>
        <v>0</v>
      </c>
      <c r="R23">
        <f t="shared" si="4"/>
        <v>0</v>
      </c>
      <c r="S23">
        <f t="shared" si="5"/>
        <v>0.797210533158593</v>
      </c>
      <c r="T23">
        <f t="shared" si="6"/>
        <v>-0.226636478038119</v>
      </c>
    </row>
    <row r="24" spans="1:20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</v>
      </c>
      <c r="P24">
        <f t="shared" si="2"/>
        <v>0.0453872384540626</v>
      </c>
      <c r="Q24">
        <f t="shared" si="3"/>
        <v>0</v>
      </c>
      <c r="R24">
        <f t="shared" si="4"/>
        <v>0</v>
      </c>
      <c r="S24">
        <f t="shared" si="5"/>
        <v>0.954612761545937</v>
      </c>
      <c r="T24">
        <f t="shared" si="6"/>
        <v>-0.0464495060250098</v>
      </c>
    </row>
    <row r="25" spans="1:20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</v>
      </c>
      <c r="P25">
        <f t="shared" si="2"/>
        <v>0.0506285700367524</v>
      </c>
      <c r="Q25">
        <f t="shared" si="3"/>
        <v>0</v>
      </c>
      <c r="R25">
        <f t="shared" si="4"/>
        <v>0</v>
      </c>
      <c r="S25">
        <f t="shared" si="5"/>
        <v>0.949371429963248</v>
      </c>
      <c r="T25">
        <f t="shared" si="6"/>
        <v>-0.051955166046546</v>
      </c>
    </row>
    <row r="26" spans="1:20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-1.63399804508778</v>
      </c>
      <c r="P26">
        <f t="shared" si="2"/>
        <v>0.163283404980317</v>
      </c>
      <c r="Q26">
        <f t="shared" si="3"/>
        <v>0</v>
      </c>
      <c r="R26">
        <f t="shared" si="4"/>
        <v>0</v>
      </c>
      <c r="S26">
        <f t="shared" si="5"/>
        <v>0.836716595019683</v>
      </c>
      <c r="T26">
        <f t="shared" si="6"/>
        <v>-0.178269861982588</v>
      </c>
    </row>
    <row r="27" spans="1:20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</v>
      </c>
      <c r="P27">
        <f t="shared" si="2"/>
        <v>0.00968307266630694</v>
      </c>
      <c r="Q27">
        <f t="shared" si="3"/>
        <v>0</v>
      </c>
      <c r="R27">
        <f t="shared" si="4"/>
        <v>0</v>
      </c>
      <c r="S27">
        <f t="shared" si="5"/>
        <v>0.990316927333693</v>
      </c>
      <c r="T27">
        <f t="shared" si="6"/>
        <v>-0.00973025846384291</v>
      </c>
    </row>
    <row r="28" spans="1:20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</v>
      </c>
      <c r="P28">
        <f t="shared" si="2"/>
        <v>0.164551566068724</v>
      </c>
      <c r="Q28">
        <f t="shared" si="3"/>
        <v>0</v>
      </c>
      <c r="R28">
        <f t="shared" si="4"/>
        <v>1</v>
      </c>
      <c r="S28">
        <f t="shared" si="5"/>
        <v>0.164551566068724</v>
      </c>
      <c r="T28">
        <f t="shared" si="6"/>
        <v>-1.80453128635625</v>
      </c>
    </row>
    <row r="29" spans="1:20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</v>
      </c>
      <c r="P29">
        <f t="shared" si="2"/>
        <v>0.913634130323312</v>
      </c>
      <c r="Q29">
        <f t="shared" si="3"/>
        <v>1</v>
      </c>
      <c r="R29">
        <f t="shared" si="4"/>
        <v>0</v>
      </c>
      <c r="S29">
        <f t="shared" si="5"/>
        <v>0.913634130323312</v>
      </c>
      <c r="T29">
        <f t="shared" si="6"/>
        <v>-0.0903250827185194</v>
      </c>
    </row>
    <row r="30" spans="1:20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4.91389319435506</v>
      </c>
      <c r="P30">
        <f t="shared" si="2"/>
        <v>0.992709697227545</v>
      </c>
      <c r="Q30">
        <f t="shared" si="3"/>
        <v>1</v>
      </c>
      <c r="R30">
        <f t="shared" si="4"/>
        <v>0</v>
      </c>
      <c r="S30">
        <f t="shared" si="5"/>
        <v>0.992709697227545</v>
      </c>
      <c r="T30">
        <f t="shared" si="6"/>
        <v>-0.00731700689630107</v>
      </c>
    </row>
    <row r="31" spans="1:20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-3.07082510453533</v>
      </c>
      <c r="P31">
        <f t="shared" si="2"/>
        <v>0.0443268613739327</v>
      </c>
      <c r="Q31">
        <f t="shared" si="3"/>
        <v>0</v>
      </c>
      <c r="R31">
        <f t="shared" si="4"/>
        <v>0</v>
      </c>
      <c r="S31">
        <f t="shared" si="5"/>
        <v>0.955673138626067</v>
      </c>
      <c r="T31">
        <f t="shared" si="6"/>
        <v>-0.0453393295965044</v>
      </c>
    </row>
    <row r="32" spans="1:20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</v>
      </c>
      <c r="P32">
        <f t="shared" si="2"/>
        <v>0.0211486770276779</v>
      </c>
      <c r="Q32">
        <f t="shared" si="3"/>
        <v>0</v>
      </c>
      <c r="R32">
        <f t="shared" si="4"/>
        <v>0</v>
      </c>
      <c r="S32">
        <f t="shared" si="5"/>
        <v>0.978851322972322</v>
      </c>
      <c r="T32">
        <f t="shared" si="6"/>
        <v>-0.0213755142027298</v>
      </c>
    </row>
    <row r="33" spans="1:20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-1.96627691018723</v>
      </c>
      <c r="P33">
        <f t="shared" si="2"/>
        <v>0.122789345865788</v>
      </c>
      <c r="Q33">
        <f t="shared" si="3"/>
        <v>0</v>
      </c>
      <c r="R33">
        <f t="shared" si="4"/>
        <v>0</v>
      </c>
      <c r="S33">
        <f t="shared" si="5"/>
        <v>0.877210654134212</v>
      </c>
      <c r="T33">
        <f t="shared" si="6"/>
        <v>-0.131008116896325</v>
      </c>
    </row>
    <row r="34" spans="1:20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-1.08586547136924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0.747602363662554</v>
      </c>
      <c r="T34">
        <f t="shared" si="6"/>
        <v>-0.29088404173832</v>
      </c>
    </row>
    <row r="35" spans="1:20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2.25893284930579</v>
      </c>
      <c r="P35">
        <f t="shared" si="2"/>
        <v>0.905418284046281</v>
      </c>
      <c r="Q35">
        <f t="shared" si="3"/>
        <v>1</v>
      </c>
      <c r="R35">
        <f t="shared" si="4"/>
        <v>0</v>
      </c>
      <c r="S35">
        <f t="shared" si="5"/>
        <v>0.905418284046281</v>
      </c>
      <c r="T35">
        <f t="shared" si="6"/>
        <v>-0.0993582497438465</v>
      </c>
    </row>
    <row r="36" spans="1:20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-1.75136843754464</v>
      </c>
      <c r="P36">
        <f t="shared" si="2"/>
        <v>0.147874681179892</v>
      </c>
      <c r="Q36">
        <f t="shared" si="3"/>
        <v>0</v>
      </c>
      <c r="R36">
        <f t="shared" si="4"/>
        <v>0</v>
      </c>
      <c r="S36">
        <f t="shared" si="5"/>
        <v>0.852125318820108</v>
      </c>
      <c r="T36">
        <f t="shared" si="6"/>
        <v>-0.160021675152146</v>
      </c>
    </row>
    <row r="37" spans="1:20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</v>
      </c>
      <c r="P37">
        <f t="shared" si="2"/>
        <v>0.859717926852341</v>
      </c>
      <c r="Q37">
        <f t="shared" si="3"/>
        <v>1</v>
      </c>
      <c r="R37">
        <f t="shared" si="4"/>
        <v>0</v>
      </c>
      <c r="S37">
        <f t="shared" si="5"/>
        <v>0.859717926852341</v>
      </c>
      <c r="T37">
        <f t="shared" si="6"/>
        <v>-0.151150935567897</v>
      </c>
    </row>
    <row r="38" spans="1:20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</v>
      </c>
      <c r="P38">
        <f t="shared" si="2"/>
        <v>0.134419319416843</v>
      </c>
      <c r="Q38">
        <f t="shared" si="3"/>
        <v>0</v>
      </c>
      <c r="R38">
        <f t="shared" si="4"/>
        <v>1</v>
      </c>
      <c r="S38">
        <f t="shared" si="5"/>
        <v>0.134419319416843</v>
      </c>
      <c r="T38">
        <f t="shared" si="6"/>
        <v>-2.00679111556247</v>
      </c>
    </row>
    <row r="39" spans="1:20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</v>
      </c>
      <c r="P39">
        <f t="shared" si="2"/>
        <v>0.541652751767724</v>
      </c>
      <c r="Q39">
        <f t="shared" si="3"/>
        <v>1</v>
      </c>
      <c r="R39">
        <f t="shared" si="4"/>
        <v>1</v>
      </c>
      <c r="S39">
        <f t="shared" si="5"/>
        <v>0.458347248232276</v>
      </c>
      <c r="T39">
        <f t="shared" si="6"/>
        <v>-0.780128198230912</v>
      </c>
    </row>
    <row r="40" spans="1:20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</v>
      </c>
      <c r="Q40">
        <f t="shared" si="3"/>
        <v>0</v>
      </c>
      <c r="R40">
        <f t="shared" si="4"/>
        <v>0</v>
      </c>
      <c r="S40">
        <f t="shared" si="5"/>
        <v>0.850444102460223</v>
      </c>
      <c r="T40">
        <f t="shared" si="6"/>
        <v>-0.161996592456907</v>
      </c>
    </row>
    <row r="41" spans="1:20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</v>
      </c>
      <c r="P41">
        <f t="shared" si="2"/>
        <v>0.126442919960784</v>
      </c>
      <c r="Q41">
        <f t="shared" si="3"/>
        <v>0</v>
      </c>
      <c r="R41">
        <f t="shared" si="4"/>
        <v>0</v>
      </c>
      <c r="S41">
        <f t="shared" si="5"/>
        <v>0.873557080039216</v>
      </c>
      <c r="T41">
        <f t="shared" si="6"/>
        <v>-0.135181805190154</v>
      </c>
    </row>
    <row r="42" spans="1:20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</v>
      </c>
      <c r="P42">
        <f t="shared" si="2"/>
        <v>0.924600623346939</v>
      </c>
      <c r="Q42">
        <f t="shared" si="3"/>
        <v>1</v>
      </c>
      <c r="R42">
        <f t="shared" si="4"/>
        <v>0</v>
      </c>
      <c r="S42">
        <f t="shared" si="5"/>
        <v>0.924600623346939</v>
      </c>
      <c r="T42">
        <f t="shared" si="6"/>
        <v>-0.0783933932481193</v>
      </c>
    </row>
    <row r="43" spans="1:20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4.14327667576239</v>
      </c>
      <c r="P43">
        <f t="shared" si="2"/>
        <v>0.984377183153201</v>
      </c>
      <c r="Q43">
        <f t="shared" si="3"/>
        <v>1</v>
      </c>
      <c r="R43">
        <f t="shared" si="4"/>
        <v>0</v>
      </c>
      <c r="S43">
        <f t="shared" si="5"/>
        <v>0.984377183153201</v>
      </c>
      <c r="T43">
        <f t="shared" si="6"/>
        <v>-0.0157461391641717</v>
      </c>
    </row>
    <row r="44" spans="1:20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</v>
      </c>
      <c r="P44">
        <f t="shared" si="2"/>
        <v>0.976159276503225</v>
      </c>
      <c r="Q44">
        <f t="shared" si="3"/>
        <v>1</v>
      </c>
      <c r="R44">
        <f t="shared" si="4"/>
        <v>0</v>
      </c>
      <c r="S44">
        <f t="shared" si="5"/>
        <v>0.976159276503225</v>
      </c>
      <c r="T44">
        <f t="shared" si="6"/>
        <v>-0.0241295127450464</v>
      </c>
    </row>
    <row r="45" spans="1:20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</v>
      </c>
      <c r="P45">
        <f t="shared" si="2"/>
        <v>0.292443126356622</v>
      </c>
      <c r="Q45">
        <f t="shared" si="3"/>
        <v>0</v>
      </c>
      <c r="R45">
        <f t="shared" si="4"/>
        <v>0</v>
      </c>
      <c r="S45">
        <f t="shared" si="5"/>
        <v>0.707556873643378</v>
      </c>
      <c r="T45">
        <f t="shared" si="6"/>
        <v>-0.345937265920495</v>
      </c>
    </row>
    <row r="46" spans="1:20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</v>
      </c>
      <c r="P46">
        <f t="shared" si="2"/>
        <v>0.988726873724367</v>
      </c>
      <c r="Q46">
        <f t="shared" si="3"/>
        <v>1</v>
      </c>
      <c r="R46">
        <f t="shared" si="4"/>
        <v>0</v>
      </c>
      <c r="S46">
        <f t="shared" si="5"/>
        <v>0.988726873724367</v>
      </c>
      <c r="T46">
        <f t="shared" si="6"/>
        <v>-0.0113371495802659</v>
      </c>
    </row>
    <row r="47" spans="1:20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-1.11888479824585</v>
      </c>
      <c r="P47">
        <f t="shared" si="2"/>
        <v>0.246218200612999</v>
      </c>
      <c r="Q47">
        <f t="shared" si="3"/>
        <v>0</v>
      </c>
      <c r="R47">
        <f t="shared" si="4"/>
        <v>0</v>
      </c>
      <c r="S47">
        <f t="shared" si="5"/>
        <v>0.753781799387001</v>
      </c>
      <c r="T47">
        <f t="shared" si="6"/>
        <v>-0.282652343589179</v>
      </c>
    </row>
    <row r="48" spans="1:20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</v>
      </c>
      <c r="P48">
        <f t="shared" si="2"/>
        <v>0.272533370221395</v>
      </c>
      <c r="Q48">
        <f t="shared" si="3"/>
        <v>0</v>
      </c>
      <c r="R48">
        <f t="shared" si="4"/>
        <v>0</v>
      </c>
      <c r="S48">
        <f t="shared" si="5"/>
        <v>0.727466629778605</v>
      </c>
      <c r="T48">
        <f t="shared" si="6"/>
        <v>-0.318187150708668</v>
      </c>
    </row>
    <row r="49" spans="1:20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-2.77109056969853</v>
      </c>
      <c r="P49">
        <f t="shared" si="2"/>
        <v>0.058906526954684</v>
      </c>
      <c r="Q49">
        <f t="shared" si="3"/>
        <v>0</v>
      </c>
      <c r="R49">
        <f t="shared" si="4"/>
        <v>0</v>
      </c>
      <c r="S49">
        <f t="shared" si="5"/>
        <v>0.941093473045316</v>
      </c>
      <c r="T49">
        <f t="shared" si="6"/>
        <v>-0.0607128105943025</v>
      </c>
    </row>
    <row r="50" spans="1:20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</v>
      </c>
      <c r="P50">
        <f t="shared" si="2"/>
        <v>0.0718522684405556</v>
      </c>
      <c r="Q50">
        <f t="shared" si="3"/>
        <v>0</v>
      </c>
      <c r="R50">
        <f t="shared" si="4"/>
        <v>1</v>
      </c>
      <c r="S50">
        <f t="shared" si="5"/>
        <v>0.0718522684405556</v>
      </c>
      <c r="T50">
        <f t="shared" si="6"/>
        <v>-2.63314309506188</v>
      </c>
    </row>
    <row r="51" spans="1:20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1.20237563295056</v>
      </c>
      <c r="P51">
        <f t="shared" si="2"/>
        <v>0.768947125776277</v>
      </c>
      <c r="Q51">
        <f t="shared" si="3"/>
        <v>1</v>
      </c>
      <c r="R51">
        <f t="shared" si="4"/>
        <v>0</v>
      </c>
      <c r="S51">
        <f t="shared" si="5"/>
        <v>0.768947125776277</v>
      </c>
      <c r="T51">
        <f t="shared" si="6"/>
        <v>-0.262733068958347</v>
      </c>
    </row>
    <row r="52" spans="1:20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0.0888868389535699</v>
      </c>
      <c r="Q52">
        <f t="shared" si="3"/>
        <v>0</v>
      </c>
      <c r="R52">
        <f t="shared" si="4"/>
        <v>0</v>
      </c>
      <c r="S52">
        <f t="shared" si="5"/>
        <v>0.91111316104643</v>
      </c>
      <c r="T52">
        <f t="shared" si="6"/>
        <v>-0.0930881731395345</v>
      </c>
    </row>
    <row r="53" spans="1:20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</v>
      </c>
      <c r="P53">
        <f t="shared" si="2"/>
        <v>0.916199264519455</v>
      </c>
      <c r="Q53">
        <f t="shared" si="3"/>
        <v>1</v>
      </c>
      <c r="R53">
        <f t="shared" si="4"/>
        <v>0</v>
      </c>
      <c r="S53">
        <f t="shared" si="5"/>
        <v>0.916199264519455</v>
      </c>
      <c r="T53">
        <f t="shared" si="6"/>
        <v>-0.0875214002809032</v>
      </c>
    </row>
    <row r="54" spans="1:20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-1.82442219479433</v>
      </c>
      <c r="P54">
        <f t="shared" si="2"/>
        <v>0.138904090261548</v>
      </c>
      <c r="Q54">
        <f t="shared" si="3"/>
        <v>0</v>
      </c>
      <c r="R54">
        <f t="shared" si="4"/>
        <v>0</v>
      </c>
      <c r="S54">
        <f t="shared" si="5"/>
        <v>0.861095909738452</v>
      </c>
      <c r="T54">
        <f t="shared" si="6"/>
        <v>-0.149549387333742</v>
      </c>
    </row>
    <row r="55" spans="1:20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</v>
      </c>
      <c r="P55">
        <f t="shared" si="2"/>
        <v>0.166976622435741</v>
      </c>
      <c r="Q55">
        <f t="shared" si="3"/>
        <v>0</v>
      </c>
      <c r="R55">
        <f t="shared" si="4"/>
        <v>0</v>
      </c>
      <c r="S55">
        <f t="shared" si="5"/>
        <v>0.833023377564259</v>
      </c>
      <c r="T55">
        <f t="shared" si="6"/>
        <v>-0.182693572906257</v>
      </c>
    </row>
    <row r="56" spans="1:20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-3.88964661123573</v>
      </c>
      <c r="P56">
        <f t="shared" si="2"/>
        <v>0.020042648744363</v>
      </c>
      <c r="Q56">
        <f t="shared" si="3"/>
        <v>0</v>
      </c>
      <c r="R56">
        <f t="shared" si="4"/>
        <v>0</v>
      </c>
      <c r="S56">
        <f t="shared" si="5"/>
        <v>0.979957351255637</v>
      </c>
      <c r="T56">
        <f t="shared" si="6"/>
        <v>-0.0202462273914052</v>
      </c>
    </row>
    <row r="57" spans="1:20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</v>
      </c>
      <c r="P57">
        <f t="shared" si="2"/>
        <v>0.326466568562467</v>
      </c>
      <c r="Q57">
        <f t="shared" si="3"/>
        <v>0</v>
      </c>
      <c r="R57">
        <f t="shared" si="4"/>
        <v>0</v>
      </c>
      <c r="S57">
        <f t="shared" si="5"/>
        <v>0.673533431437533</v>
      </c>
      <c r="T57">
        <f t="shared" si="6"/>
        <v>-0.395217646000583</v>
      </c>
    </row>
    <row r="58" spans="1:20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-0.0400173524646457</v>
      </c>
      <c r="P58">
        <f t="shared" si="2"/>
        <v>0.489996996739409</v>
      </c>
      <c r="Q58">
        <f t="shared" si="3"/>
        <v>0</v>
      </c>
      <c r="R58">
        <f t="shared" si="4"/>
        <v>1</v>
      </c>
      <c r="S58">
        <f t="shared" si="5"/>
        <v>0.489996996739409</v>
      </c>
      <c r="T58">
        <f t="shared" si="6"/>
        <v>-0.713356016999494</v>
      </c>
    </row>
    <row r="59" spans="1:20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</v>
      </c>
      <c r="P59">
        <f t="shared" si="2"/>
        <v>0.0429144694699953</v>
      </c>
      <c r="Q59">
        <f t="shared" si="3"/>
        <v>0</v>
      </c>
      <c r="R59">
        <f t="shared" si="4"/>
        <v>0</v>
      </c>
      <c r="S59">
        <f t="shared" si="5"/>
        <v>0.957085530530005</v>
      </c>
      <c r="T59">
        <f t="shared" si="6"/>
        <v>-0.0438625179281932</v>
      </c>
    </row>
    <row r="60" spans="1:20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2.32526382549823</v>
      </c>
      <c r="P60">
        <f t="shared" si="2"/>
        <v>0.910947876595512</v>
      </c>
      <c r="Q60">
        <f t="shared" si="3"/>
        <v>1</v>
      </c>
      <c r="R60">
        <f t="shared" si="4"/>
        <v>0</v>
      </c>
      <c r="S60">
        <f t="shared" si="5"/>
        <v>0.910947876595512</v>
      </c>
      <c r="T60">
        <f t="shared" si="6"/>
        <v>-0.0932695989512465</v>
      </c>
    </row>
    <row r="61" spans="1:20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</v>
      </c>
      <c r="K61">
        <v>2</v>
      </c>
      <c r="L61">
        <v>1</v>
      </c>
      <c r="M61">
        <v>7</v>
      </c>
      <c r="N61">
        <v>1</v>
      </c>
      <c r="O61">
        <f t="shared" si="1"/>
        <v>4.31238667100589</v>
      </c>
      <c r="P61">
        <f t="shared" si="2"/>
        <v>0.986775699451812</v>
      </c>
      <c r="Q61">
        <f t="shared" si="3"/>
        <v>1</v>
      </c>
      <c r="R61">
        <f t="shared" si="4"/>
        <v>0</v>
      </c>
      <c r="S61">
        <f t="shared" si="5"/>
        <v>0.986775699451812</v>
      </c>
      <c r="T61">
        <f t="shared" si="6"/>
        <v>-0.0133125202363406</v>
      </c>
    </row>
    <row r="62" spans="1:20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1.08488382750681</v>
      </c>
      <c r="P62">
        <f t="shared" si="2"/>
        <v>0.74741708925156</v>
      </c>
      <c r="Q62">
        <f t="shared" si="3"/>
        <v>1</v>
      </c>
      <c r="R62">
        <f t="shared" si="4"/>
        <v>0</v>
      </c>
      <c r="S62">
        <f t="shared" si="5"/>
        <v>0.74741708925156</v>
      </c>
      <c r="T62">
        <f t="shared" si="6"/>
        <v>-0.291131897258301</v>
      </c>
    </row>
    <row r="63" spans="1:20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</v>
      </c>
      <c r="P63">
        <f t="shared" si="2"/>
        <v>0.34742233507787</v>
      </c>
      <c r="Q63">
        <f t="shared" si="3"/>
        <v>0</v>
      </c>
      <c r="R63">
        <f t="shared" si="4"/>
        <v>1</v>
      </c>
      <c r="S63">
        <f t="shared" si="5"/>
        <v>0.34742233507787</v>
      </c>
      <c r="T63">
        <f t="shared" si="6"/>
        <v>-1.05721413513508</v>
      </c>
    </row>
    <row r="64" spans="1:20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</v>
      </c>
      <c r="P64">
        <f t="shared" si="2"/>
        <v>0.680170373846386</v>
      </c>
      <c r="Q64">
        <f t="shared" si="3"/>
        <v>1</v>
      </c>
      <c r="R64">
        <f t="shared" si="4"/>
        <v>1</v>
      </c>
      <c r="S64">
        <f t="shared" si="5"/>
        <v>0.319829626153614</v>
      </c>
      <c r="T64">
        <f t="shared" si="6"/>
        <v>-1.13996684324326</v>
      </c>
    </row>
    <row r="65" spans="1:20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-0.0879115865825471</v>
      </c>
      <c r="P65">
        <f t="shared" si="2"/>
        <v>0.478036247007834</v>
      </c>
      <c r="Q65">
        <f t="shared" si="3"/>
        <v>0</v>
      </c>
      <c r="R65">
        <f t="shared" si="4"/>
        <v>0</v>
      </c>
      <c r="S65">
        <f t="shared" si="5"/>
        <v>0.521963752992166</v>
      </c>
      <c r="T65">
        <f t="shared" si="6"/>
        <v>-0.650157132222803</v>
      </c>
    </row>
    <row r="66" spans="1:20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</v>
      </c>
      <c r="P66">
        <f t="shared" si="2"/>
        <v>0.666971870552541</v>
      </c>
      <c r="Q66">
        <f t="shared" si="3"/>
        <v>1</v>
      </c>
      <c r="R66">
        <f t="shared" si="4"/>
        <v>0</v>
      </c>
      <c r="S66">
        <f t="shared" si="5"/>
        <v>0.666971870552541</v>
      </c>
      <c r="T66">
        <f t="shared" si="6"/>
        <v>-0.40500740704047</v>
      </c>
    </row>
    <row r="67" spans="1:20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</v>
      </c>
      <c r="P67">
        <f t="shared" si="2"/>
        <v>0.310163212195783</v>
      </c>
      <c r="Q67">
        <f t="shared" si="3"/>
        <v>0</v>
      </c>
      <c r="R67">
        <f t="shared" si="4"/>
        <v>0</v>
      </c>
      <c r="S67">
        <f t="shared" si="5"/>
        <v>0.689836787804217</v>
      </c>
      <c r="T67">
        <f t="shared" si="6"/>
        <v>-0.37130024878487</v>
      </c>
    </row>
    <row r="68" spans="1:20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</v>
      </c>
      <c r="K68">
        <v>2</v>
      </c>
      <c r="L68">
        <v>3</v>
      </c>
      <c r="M68">
        <v>7</v>
      </c>
      <c r="N68">
        <v>1</v>
      </c>
      <c r="O68">
        <f t="shared" si="1"/>
        <v>6.18298762673768</v>
      </c>
      <c r="P68">
        <f t="shared" si="2"/>
        <v>0.997940000935935</v>
      </c>
      <c r="Q68">
        <f t="shared" si="3"/>
        <v>1</v>
      </c>
      <c r="R68">
        <f t="shared" si="4"/>
        <v>0</v>
      </c>
      <c r="S68">
        <f t="shared" si="5"/>
        <v>0.997940000935935</v>
      </c>
      <c r="T68">
        <f t="shared" si="6"/>
        <v>-0.00206212378058075</v>
      </c>
    </row>
    <row r="69" spans="1:20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</v>
      </c>
      <c r="P69">
        <f t="shared" si="2"/>
        <v>0.010171528688139</v>
      </c>
      <c r="Q69">
        <f t="shared" si="3"/>
        <v>0</v>
      </c>
      <c r="R69">
        <f t="shared" si="4"/>
        <v>0</v>
      </c>
      <c r="S69">
        <f t="shared" si="5"/>
        <v>0.989828471311861</v>
      </c>
      <c r="T69">
        <f t="shared" si="6"/>
        <v>-0.0102236121661251</v>
      </c>
    </row>
    <row r="70" spans="1:20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</v>
      </c>
      <c r="P70">
        <f t="shared" si="2"/>
        <v>0.893744473804316</v>
      </c>
      <c r="Q70">
        <f t="shared" si="3"/>
        <v>1</v>
      </c>
      <c r="R70">
        <f t="shared" si="4"/>
        <v>0</v>
      </c>
      <c r="S70">
        <f t="shared" si="5"/>
        <v>0.893744473804316</v>
      </c>
      <c r="T70">
        <f t="shared" si="6"/>
        <v>-0.112335368149045</v>
      </c>
    </row>
    <row r="71" spans="1:20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SUMPRODUCT(A$4:M$4,A71:M71)+N$4</f>
        <v>5.54653488528258</v>
      </c>
      <c r="P71">
        <f t="shared" ref="P71:P134" si="8">1/(1+EXP(0-O71))</f>
        <v>0.996114207193548</v>
      </c>
      <c r="Q71">
        <f t="shared" ref="Q71:Q134" si="9">IF(P71&lt;=0.5,0,1)</f>
        <v>1</v>
      </c>
      <c r="R71">
        <f t="shared" ref="R71:R134" si="10">IF(N71=Q71,0,1)</f>
        <v>0</v>
      </c>
      <c r="S71">
        <f t="shared" ref="S71:S134" si="11">IF(N71=1,P71,1-P71)</f>
        <v>0.996114207193548</v>
      </c>
      <c r="T71">
        <f t="shared" ref="T71:T134" si="12">IF(S71=0,-100000,LN(S71))</f>
        <v>-0.00389336211419019</v>
      </c>
    </row>
    <row r="72" spans="1:20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</v>
      </c>
      <c r="P72">
        <f t="shared" si="8"/>
        <v>0.333893562173711</v>
      </c>
      <c r="Q72">
        <f t="shared" si="9"/>
        <v>0</v>
      </c>
      <c r="R72">
        <f t="shared" si="10"/>
        <v>1</v>
      </c>
      <c r="S72">
        <f t="shared" si="11"/>
        <v>0.333893562173711</v>
      </c>
      <c r="T72">
        <f t="shared" si="12"/>
        <v>-1.09693301292008</v>
      </c>
    </row>
    <row r="73" spans="1:20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0.12229683640648</v>
      </c>
      <c r="P73">
        <f t="shared" si="8"/>
        <v>0.530536159039113</v>
      </c>
      <c r="Q73">
        <f t="shared" si="9"/>
        <v>1</v>
      </c>
      <c r="R73">
        <f t="shared" si="10"/>
        <v>1</v>
      </c>
      <c r="S73">
        <f t="shared" si="11"/>
        <v>0.469463840960887</v>
      </c>
      <c r="T73">
        <f t="shared" si="12"/>
        <v>-0.756163999357456</v>
      </c>
    </row>
    <row r="74" spans="1:20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</v>
      </c>
      <c r="P74">
        <f t="shared" si="8"/>
        <v>0.99010681195126</v>
      </c>
      <c r="Q74">
        <f t="shared" si="9"/>
        <v>1</v>
      </c>
      <c r="R74">
        <f t="shared" si="10"/>
        <v>0</v>
      </c>
      <c r="S74">
        <f t="shared" si="11"/>
        <v>0.99010681195126</v>
      </c>
      <c r="T74">
        <f t="shared" si="12"/>
        <v>-0.00994245081344337</v>
      </c>
    </row>
    <row r="75" spans="1:20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-0.198708320834693</v>
      </c>
      <c r="P75">
        <f t="shared" si="8"/>
        <v>0.450485735224143</v>
      </c>
      <c r="Q75">
        <f t="shared" si="9"/>
        <v>0</v>
      </c>
      <c r="R75">
        <f t="shared" si="10"/>
        <v>1</v>
      </c>
      <c r="S75">
        <f t="shared" si="11"/>
        <v>0.450485735224143</v>
      </c>
      <c r="T75">
        <f t="shared" si="12"/>
        <v>-0.797428866754398</v>
      </c>
    </row>
    <row r="76" spans="1:20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</v>
      </c>
      <c r="P76">
        <f t="shared" si="8"/>
        <v>0.0599062542324338</v>
      </c>
      <c r="Q76">
        <f t="shared" si="9"/>
        <v>0</v>
      </c>
      <c r="R76">
        <f t="shared" si="10"/>
        <v>0</v>
      </c>
      <c r="S76">
        <f t="shared" si="11"/>
        <v>0.940093745767566</v>
      </c>
      <c r="T76">
        <f t="shared" si="12"/>
        <v>-0.0617756791507834</v>
      </c>
    </row>
    <row r="77" spans="1:20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1.31114240783922</v>
      </c>
      <c r="P77">
        <f t="shared" si="8"/>
        <v>0.787704259257134</v>
      </c>
      <c r="Q77">
        <f t="shared" si="9"/>
        <v>1</v>
      </c>
      <c r="R77">
        <f t="shared" si="10"/>
        <v>0</v>
      </c>
      <c r="S77">
        <f t="shared" si="11"/>
        <v>0.787704259257134</v>
      </c>
      <c r="T77">
        <f t="shared" si="12"/>
        <v>-0.238632565080248</v>
      </c>
    </row>
    <row r="78" spans="1:20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4.9930236699282</v>
      </c>
      <c r="P78">
        <f t="shared" si="8"/>
        <v>0.993260610064019</v>
      </c>
      <c r="Q78">
        <f t="shared" si="9"/>
        <v>1</v>
      </c>
      <c r="R78">
        <f t="shared" si="10"/>
        <v>0</v>
      </c>
      <c r="S78">
        <f t="shared" si="11"/>
        <v>0.993260610064019</v>
      </c>
      <c r="T78">
        <f t="shared" si="12"/>
        <v>-0.0067622021758248</v>
      </c>
    </row>
    <row r="79" spans="1:20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1.74936177946229</v>
      </c>
      <c r="P79">
        <f t="shared" si="8"/>
        <v>0.85187228562326</v>
      </c>
      <c r="Q79">
        <f t="shared" si="9"/>
        <v>1</v>
      </c>
      <c r="R79">
        <f t="shared" si="10"/>
        <v>0</v>
      </c>
      <c r="S79">
        <f t="shared" si="11"/>
        <v>0.85187228562326</v>
      </c>
      <c r="T79">
        <f t="shared" si="12"/>
        <v>-0.16031866289209</v>
      </c>
    </row>
    <row r="80" spans="1:20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</v>
      </c>
      <c r="P80">
        <f t="shared" si="8"/>
        <v>0.259490076434368</v>
      </c>
      <c r="Q80">
        <f t="shared" si="9"/>
        <v>0</v>
      </c>
      <c r="R80">
        <f t="shared" si="10"/>
        <v>1</v>
      </c>
      <c r="S80">
        <f t="shared" si="11"/>
        <v>0.259490076434368</v>
      </c>
      <c r="T80">
        <f t="shared" si="12"/>
        <v>-1.34903681820811</v>
      </c>
    </row>
    <row r="81" spans="1:20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</v>
      </c>
      <c r="P81">
        <f t="shared" si="8"/>
        <v>0.148037993711869</v>
      </c>
      <c r="Q81">
        <f t="shared" si="9"/>
        <v>0</v>
      </c>
      <c r="R81">
        <f t="shared" si="10"/>
        <v>0</v>
      </c>
      <c r="S81">
        <f t="shared" si="11"/>
        <v>0.851962006288131</v>
      </c>
      <c r="T81">
        <f t="shared" si="12"/>
        <v>-0.160213346705675</v>
      </c>
    </row>
    <row r="82" spans="1:20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3.6986926503334</v>
      </c>
      <c r="P82">
        <f t="shared" si="8"/>
        <v>0.975842177996719</v>
      </c>
      <c r="Q82">
        <f t="shared" si="9"/>
        <v>1</v>
      </c>
      <c r="R82">
        <f t="shared" si="10"/>
        <v>0</v>
      </c>
      <c r="S82">
        <f t="shared" si="11"/>
        <v>0.975842177996719</v>
      </c>
      <c r="T82">
        <f t="shared" si="12"/>
        <v>-0.0244544085165781</v>
      </c>
    </row>
    <row r="83" spans="1:20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</v>
      </c>
      <c r="P83">
        <f t="shared" si="8"/>
        <v>0.339477885855596</v>
      </c>
      <c r="Q83">
        <f t="shared" si="9"/>
        <v>0</v>
      </c>
      <c r="R83">
        <f t="shared" si="10"/>
        <v>0</v>
      </c>
      <c r="S83">
        <f t="shared" si="11"/>
        <v>0.660522114144404</v>
      </c>
      <c r="T83">
        <f t="shared" si="12"/>
        <v>-0.41472467466516</v>
      </c>
    </row>
    <row r="84" spans="1:20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-2.24661528252071</v>
      </c>
      <c r="P84">
        <f t="shared" si="8"/>
        <v>0.0956418238151603</v>
      </c>
      <c r="Q84">
        <f t="shared" si="9"/>
        <v>0</v>
      </c>
      <c r="R84">
        <f t="shared" si="10"/>
        <v>0</v>
      </c>
      <c r="S84">
        <f t="shared" si="11"/>
        <v>0.90435817618484</v>
      </c>
      <c r="T84">
        <f t="shared" si="12"/>
        <v>-0.100529784467594</v>
      </c>
    </row>
    <row r="85" spans="1:20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2.67546113718774</v>
      </c>
      <c r="P85">
        <f t="shared" si="8"/>
        <v>0.935563039327719</v>
      </c>
      <c r="Q85">
        <f t="shared" si="9"/>
        <v>1</v>
      </c>
      <c r="R85">
        <f t="shared" si="10"/>
        <v>0</v>
      </c>
      <c r="S85">
        <f t="shared" si="11"/>
        <v>0.935563039327719</v>
      </c>
      <c r="T85">
        <f t="shared" si="12"/>
        <v>-0.0666067498325678</v>
      </c>
    </row>
    <row r="86" spans="1:20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</v>
      </c>
      <c r="P86">
        <f t="shared" si="8"/>
        <v>0.602943788184112</v>
      </c>
      <c r="Q86">
        <f t="shared" si="9"/>
        <v>1</v>
      </c>
      <c r="R86">
        <f t="shared" si="10"/>
        <v>1</v>
      </c>
      <c r="S86">
        <f t="shared" si="11"/>
        <v>0.397056211815888</v>
      </c>
      <c r="T86">
        <f t="shared" si="12"/>
        <v>-0.923677416842286</v>
      </c>
    </row>
    <row r="87" spans="1:20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-1.56874542678114</v>
      </c>
      <c r="P87">
        <f t="shared" si="8"/>
        <v>0.172395314619802</v>
      </c>
      <c r="Q87">
        <f t="shared" si="9"/>
        <v>0</v>
      </c>
      <c r="R87">
        <f t="shared" si="10"/>
        <v>0</v>
      </c>
      <c r="S87">
        <f t="shared" si="11"/>
        <v>0.827604685380198</v>
      </c>
      <c r="T87">
        <f t="shared" si="12"/>
        <v>-0.189219671720059</v>
      </c>
    </row>
    <row r="88" spans="1:20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</v>
      </c>
      <c r="P88">
        <f t="shared" si="8"/>
        <v>0.170230100035375</v>
      </c>
      <c r="Q88">
        <f t="shared" si="9"/>
        <v>0</v>
      </c>
      <c r="R88">
        <f t="shared" si="10"/>
        <v>0</v>
      </c>
      <c r="S88">
        <f t="shared" si="11"/>
        <v>0.829769899964625</v>
      </c>
      <c r="T88">
        <f t="shared" si="12"/>
        <v>-0.186606845584828</v>
      </c>
    </row>
    <row r="89" spans="1:20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1.63938133270624</v>
      </c>
      <c r="P89">
        <f t="shared" si="8"/>
        <v>0.837450737677871</v>
      </c>
      <c r="Q89">
        <f t="shared" si="9"/>
        <v>1</v>
      </c>
      <c r="R89">
        <f t="shared" si="10"/>
        <v>0</v>
      </c>
      <c r="S89">
        <f t="shared" si="11"/>
        <v>0.837450737677871</v>
      </c>
      <c r="T89">
        <f t="shared" si="12"/>
        <v>-0.177392837696059</v>
      </c>
    </row>
    <row r="90" spans="1:20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-3.03909544422335</v>
      </c>
      <c r="P90">
        <f t="shared" si="8"/>
        <v>0.0456905958942563</v>
      </c>
      <c r="Q90">
        <f t="shared" si="9"/>
        <v>0</v>
      </c>
      <c r="R90">
        <f t="shared" si="10"/>
        <v>0</v>
      </c>
      <c r="S90">
        <f t="shared" si="11"/>
        <v>0.954309404105744</v>
      </c>
      <c r="T90">
        <f t="shared" si="12"/>
        <v>-0.0467673371531783</v>
      </c>
    </row>
    <row r="91" spans="1:20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</v>
      </c>
      <c r="P91">
        <f t="shared" si="8"/>
        <v>0.114753245045729</v>
      </c>
      <c r="Q91">
        <f t="shared" si="9"/>
        <v>0</v>
      </c>
      <c r="R91">
        <f t="shared" si="10"/>
        <v>0</v>
      </c>
      <c r="S91">
        <f t="shared" si="11"/>
        <v>0.885246754954271</v>
      </c>
      <c r="T91">
        <f t="shared" si="12"/>
        <v>-0.121888853679677</v>
      </c>
    </row>
    <row r="92" spans="1:20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</v>
      </c>
      <c r="P92">
        <f t="shared" si="8"/>
        <v>0.178313206461616</v>
      </c>
      <c r="Q92">
        <f t="shared" si="9"/>
        <v>0</v>
      </c>
      <c r="R92">
        <f t="shared" si="10"/>
        <v>0</v>
      </c>
      <c r="S92">
        <f t="shared" si="11"/>
        <v>0.821686793538384</v>
      </c>
      <c r="T92">
        <f t="shared" si="12"/>
        <v>-0.196395986294898</v>
      </c>
    </row>
    <row r="93" spans="1:20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</v>
      </c>
      <c r="P93">
        <f t="shared" si="8"/>
        <v>0.0726598370450935</v>
      </c>
      <c r="Q93">
        <f t="shared" si="9"/>
        <v>0</v>
      </c>
      <c r="R93">
        <f t="shared" si="10"/>
        <v>0</v>
      </c>
      <c r="S93">
        <f t="shared" si="11"/>
        <v>0.927340162954907</v>
      </c>
      <c r="T93">
        <f t="shared" si="12"/>
        <v>-0.0754348303971706</v>
      </c>
    </row>
    <row r="94" spans="1:20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</v>
      </c>
      <c r="P94">
        <f t="shared" si="8"/>
        <v>0.055957009469629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-0.0575835730575169</v>
      </c>
    </row>
    <row r="95" spans="1:20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</v>
      </c>
      <c r="P95">
        <f t="shared" si="8"/>
        <v>0.341494808049153</v>
      </c>
      <c r="Q95">
        <f t="shared" si="9"/>
        <v>0</v>
      </c>
      <c r="R95">
        <f t="shared" si="10"/>
        <v>0</v>
      </c>
      <c r="S95">
        <f t="shared" si="11"/>
        <v>0.658505191950847</v>
      </c>
      <c r="T95">
        <f t="shared" si="12"/>
        <v>-0.417782873318347</v>
      </c>
    </row>
    <row r="96" spans="1:20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5.66806048015269</v>
      </c>
      <c r="P96">
        <f t="shared" si="8"/>
        <v>0.996557333924553</v>
      </c>
      <c r="Q96">
        <f t="shared" si="9"/>
        <v>1</v>
      </c>
      <c r="R96">
        <f t="shared" si="10"/>
        <v>0</v>
      </c>
      <c r="S96">
        <f t="shared" si="11"/>
        <v>0.996557333924553</v>
      </c>
      <c r="T96">
        <f t="shared" si="12"/>
        <v>-0.00344860568628305</v>
      </c>
    </row>
    <row r="97" spans="1:20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3.84811661522356</v>
      </c>
      <c r="P97">
        <f t="shared" si="8"/>
        <v>0.979125195608157</v>
      </c>
      <c r="Q97">
        <f t="shared" si="9"/>
        <v>1</v>
      </c>
      <c r="R97">
        <f t="shared" si="10"/>
        <v>1</v>
      </c>
      <c r="S97">
        <f t="shared" si="11"/>
        <v>0.0208748043918425</v>
      </c>
      <c r="T97">
        <f t="shared" si="12"/>
        <v>-3.86921237873978</v>
      </c>
    </row>
    <row r="98" spans="1:20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-4.26271949864307</v>
      </c>
      <c r="P98">
        <f t="shared" si="8"/>
        <v>0.0138883462423721</v>
      </c>
      <c r="Q98">
        <f t="shared" si="9"/>
        <v>0</v>
      </c>
      <c r="R98">
        <f t="shared" si="10"/>
        <v>0</v>
      </c>
      <c r="S98">
        <f t="shared" si="11"/>
        <v>0.986111653757628</v>
      </c>
      <c r="T98">
        <f t="shared" si="12"/>
        <v>-0.0139856916854658</v>
      </c>
    </row>
    <row r="99" spans="1:20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-3.49423152619758</v>
      </c>
      <c r="P99">
        <f t="shared" si="8"/>
        <v>0.029476807668873</v>
      </c>
      <c r="Q99">
        <f t="shared" si="9"/>
        <v>0</v>
      </c>
      <c r="R99">
        <f t="shared" si="10"/>
        <v>0</v>
      </c>
      <c r="S99">
        <f t="shared" si="11"/>
        <v>0.970523192331127</v>
      </c>
      <c r="T99">
        <f t="shared" si="12"/>
        <v>-0.0299199793570861</v>
      </c>
    </row>
    <row r="100" spans="1:20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1.70282088406843</v>
      </c>
      <c r="P100">
        <f t="shared" si="8"/>
        <v>0.845902799585682</v>
      </c>
      <c r="Q100">
        <f t="shared" si="9"/>
        <v>1</v>
      </c>
      <c r="R100">
        <f t="shared" si="10"/>
        <v>0</v>
      </c>
      <c r="S100">
        <f t="shared" si="11"/>
        <v>0.845902799585682</v>
      </c>
      <c r="T100">
        <f t="shared" si="12"/>
        <v>-0.167350820083506</v>
      </c>
    </row>
    <row r="101" spans="1:20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2.84078828440881</v>
      </c>
      <c r="P101">
        <f t="shared" si="8"/>
        <v>0.944840559547408</v>
      </c>
      <c r="Q101">
        <f t="shared" si="9"/>
        <v>1</v>
      </c>
      <c r="R101">
        <f t="shared" si="10"/>
        <v>0</v>
      </c>
      <c r="S101">
        <f t="shared" si="11"/>
        <v>0.944840559547408</v>
      </c>
      <c r="T101">
        <f t="shared" si="12"/>
        <v>-0.0567390857788765</v>
      </c>
    </row>
    <row r="102" spans="1:20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2.94919560132574</v>
      </c>
      <c r="P102">
        <f t="shared" si="8"/>
        <v>0.950225456542265</v>
      </c>
      <c r="Q102">
        <f t="shared" si="9"/>
        <v>1</v>
      </c>
      <c r="R102">
        <f t="shared" si="10"/>
        <v>0</v>
      </c>
      <c r="S102">
        <f t="shared" si="11"/>
        <v>0.950225456542265</v>
      </c>
      <c r="T102">
        <f t="shared" si="12"/>
        <v>-0.0510559998680533</v>
      </c>
    </row>
    <row r="103" spans="1:20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-1.61646311079093</v>
      </c>
      <c r="P103">
        <f t="shared" si="8"/>
        <v>0.165693228208953</v>
      </c>
      <c r="Q103">
        <f t="shared" si="9"/>
        <v>0</v>
      </c>
      <c r="R103">
        <f t="shared" si="10"/>
        <v>0</v>
      </c>
      <c r="S103">
        <f t="shared" si="11"/>
        <v>0.834306771791047</v>
      </c>
      <c r="T103">
        <f t="shared" si="12"/>
        <v>-0.181154112373204</v>
      </c>
    </row>
    <row r="104" spans="1:20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-2.14553530666148</v>
      </c>
      <c r="P104">
        <f t="shared" si="8"/>
        <v>0.104749169455044</v>
      </c>
      <c r="Q104">
        <f t="shared" si="9"/>
        <v>0</v>
      </c>
      <c r="R104">
        <f t="shared" si="10"/>
        <v>0</v>
      </c>
      <c r="S104">
        <f t="shared" si="11"/>
        <v>0.895250830544956</v>
      </c>
      <c r="T104">
        <f t="shared" si="12"/>
        <v>-0.110651342379975</v>
      </c>
    </row>
    <row r="105" spans="1:20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-2.06087485472341</v>
      </c>
      <c r="P105">
        <f t="shared" si="8"/>
        <v>0.112958141167674</v>
      </c>
      <c r="Q105">
        <f t="shared" si="9"/>
        <v>0</v>
      </c>
      <c r="R105">
        <f t="shared" si="10"/>
        <v>0</v>
      </c>
      <c r="S105">
        <f t="shared" si="11"/>
        <v>0.887041858832326</v>
      </c>
      <c r="T105">
        <f t="shared" si="12"/>
        <v>-0.119863106317803</v>
      </c>
    </row>
    <row r="106" spans="1:20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</v>
      </c>
      <c r="P106">
        <f t="shared" si="8"/>
        <v>0.0235897197949188</v>
      </c>
      <c r="Q106">
        <f t="shared" si="9"/>
        <v>0</v>
      </c>
      <c r="R106">
        <f t="shared" si="10"/>
        <v>0</v>
      </c>
      <c r="S106">
        <f t="shared" si="11"/>
        <v>0.976410280205081</v>
      </c>
      <c r="T106">
        <f t="shared" si="12"/>
        <v>-0.0238724118367824</v>
      </c>
    </row>
    <row r="107" spans="1:20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</v>
      </c>
      <c r="P107">
        <f t="shared" si="8"/>
        <v>0.229604692586663</v>
      </c>
      <c r="Q107">
        <f t="shared" si="9"/>
        <v>0</v>
      </c>
      <c r="R107">
        <f t="shared" si="10"/>
        <v>0</v>
      </c>
      <c r="S107">
        <f t="shared" si="11"/>
        <v>0.770395307413337</v>
      </c>
      <c r="T107">
        <f t="shared" si="12"/>
        <v>-0.260851509620956</v>
      </c>
    </row>
    <row r="108" spans="1:20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-3.03001934006994</v>
      </c>
      <c r="P108">
        <f t="shared" si="8"/>
        <v>0.046087976765395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-0.0471838306179194</v>
      </c>
    </row>
    <row r="109" spans="1:20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3.77107114033797</v>
      </c>
      <c r="P109">
        <f t="shared" si="8"/>
        <v>0.977490940261656</v>
      </c>
      <c r="Q109">
        <f t="shared" si="9"/>
        <v>1</v>
      </c>
      <c r="R109">
        <f t="shared" si="10"/>
        <v>0</v>
      </c>
      <c r="S109">
        <f t="shared" si="11"/>
        <v>0.977490940261656</v>
      </c>
      <c r="T109">
        <f t="shared" si="12"/>
        <v>-0.0227662554400873</v>
      </c>
    </row>
    <row r="110" spans="1:20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</v>
      </c>
      <c r="P110">
        <f t="shared" si="8"/>
        <v>0.144428110586817</v>
      </c>
      <c r="Q110">
        <f t="shared" si="9"/>
        <v>0</v>
      </c>
      <c r="R110">
        <f t="shared" si="10"/>
        <v>0</v>
      </c>
      <c r="S110">
        <f t="shared" si="11"/>
        <v>0.855571889413183</v>
      </c>
      <c r="T110">
        <f t="shared" si="12"/>
        <v>-0.15598515713692</v>
      </c>
    </row>
    <row r="111" spans="1:20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</v>
      </c>
      <c r="P111">
        <f t="shared" si="8"/>
        <v>0.814862930752907</v>
      </c>
      <c r="Q111">
        <f t="shared" si="9"/>
        <v>1</v>
      </c>
      <c r="R111">
        <f t="shared" si="10"/>
        <v>0</v>
      </c>
      <c r="S111">
        <f t="shared" si="11"/>
        <v>0.814862930752907</v>
      </c>
      <c r="T111">
        <f t="shared" si="12"/>
        <v>-0.204735363010909</v>
      </c>
    </row>
    <row r="112" spans="1:20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1.38670358123824</v>
      </c>
      <c r="P112">
        <f t="shared" si="8"/>
        <v>0.800065467180876</v>
      </c>
      <c r="Q112">
        <f t="shared" si="9"/>
        <v>1</v>
      </c>
      <c r="R112">
        <f t="shared" si="10"/>
        <v>0</v>
      </c>
      <c r="S112">
        <f t="shared" si="11"/>
        <v>0.800065467180876</v>
      </c>
      <c r="T112">
        <f t="shared" si="12"/>
        <v>-0.223061720686332</v>
      </c>
    </row>
    <row r="113" spans="1:20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</v>
      </c>
      <c r="P113">
        <f t="shared" si="8"/>
        <v>0.964516788232104</v>
      </c>
      <c r="Q113">
        <f t="shared" si="9"/>
        <v>1</v>
      </c>
      <c r="R113">
        <f t="shared" si="10"/>
        <v>0</v>
      </c>
      <c r="S113">
        <f t="shared" si="11"/>
        <v>0.964516788232104</v>
      </c>
      <c r="T113">
        <f t="shared" si="12"/>
        <v>-0.0361280406373936</v>
      </c>
    </row>
    <row r="114" spans="1:20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</v>
      </c>
      <c r="P114">
        <f t="shared" si="8"/>
        <v>0.639598606601577</v>
      </c>
      <c r="Q114">
        <f t="shared" si="9"/>
        <v>1</v>
      </c>
      <c r="R114">
        <f t="shared" si="10"/>
        <v>0</v>
      </c>
      <c r="S114">
        <f t="shared" si="11"/>
        <v>0.639598606601577</v>
      </c>
      <c r="T114">
        <f t="shared" si="12"/>
        <v>-0.446914476571338</v>
      </c>
    </row>
    <row r="115" spans="1:20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1.28175191154065</v>
      </c>
      <c r="P115">
        <f t="shared" si="8"/>
        <v>0.782747842958657</v>
      </c>
      <c r="Q115">
        <f t="shared" si="9"/>
        <v>1</v>
      </c>
      <c r="R115">
        <f t="shared" si="10"/>
        <v>0</v>
      </c>
      <c r="S115">
        <f t="shared" si="11"/>
        <v>0.782747842958657</v>
      </c>
      <c r="T115">
        <f t="shared" si="12"/>
        <v>-0.244944674501352</v>
      </c>
    </row>
    <row r="116" spans="1:20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</v>
      </c>
      <c r="P116">
        <f t="shared" si="8"/>
        <v>0.701590346415555</v>
      </c>
      <c r="Q116">
        <f t="shared" si="9"/>
        <v>1</v>
      </c>
      <c r="R116">
        <f t="shared" si="10"/>
        <v>0</v>
      </c>
      <c r="S116">
        <f t="shared" si="11"/>
        <v>0.701590346415555</v>
      </c>
      <c r="T116">
        <f t="shared" si="12"/>
        <v>-0.354405597403724</v>
      </c>
    </row>
    <row r="117" spans="1:20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</v>
      </c>
      <c r="P117">
        <f t="shared" si="8"/>
        <v>0.0637598521934175</v>
      </c>
      <c r="Q117">
        <f t="shared" si="9"/>
        <v>0</v>
      </c>
      <c r="R117">
        <f t="shared" si="10"/>
        <v>0</v>
      </c>
      <c r="S117">
        <f t="shared" si="11"/>
        <v>0.936240147806582</v>
      </c>
      <c r="T117">
        <f t="shared" si="12"/>
        <v>-0.0658832672431034</v>
      </c>
    </row>
    <row r="118" spans="1:20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</v>
      </c>
      <c r="P118">
        <f t="shared" si="8"/>
        <v>0.745238050013467</v>
      </c>
      <c r="Q118">
        <f t="shared" si="9"/>
        <v>1</v>
      </c>
      <c r="R118">
        <f t="shared" si="10"/>
        <v>0</v>
      </c>
      <c r="S118">
        <f t="shared" si="11"/>
        <v>0.745238050013467</v>
      </c>
      <c r="T118">
        <f t="shared" si="12"/>
        <v>-0.294051581422068</v>
      </c>
    </row>
    <row r="119" spans="1:20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1.02451182558084</v>
      </c>
      <c r="P119">
        <f t="shared" si="8"/>
        <v>0.73585051617765</v>
      </c>
      <c r="Q119">
        <f t="shared" si="9"/>
        <v>1</v>
      </c>
      <c r="R119">
        <f t="shared" si="10"/>
        <v>0</v>
      </c>
      <c r="S119">
        <f t="shared" si="11"/>
        <v>0.73585051617765</v>
      </c>
      <c r="T119">
        <f t="shared" si="12"/>
        <v>-0.306728283900969</v>
      </c>
    </row>
    <row r="120" spans="1:20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</v>
      </c>
      <c r="P120">
        <f t="shared" si="8"/>
        <v>0.320127349212607</v>
      </c>
      <c r="Q120">
        <f t="shared" si="9"/>
        <v>0</v>
      </c>
      <c r="R120">
        <f t="shared" si="10"/>
        <v>0</v>
      </c>
      <c r="S120">
        <f t="shared" si="11"/>
        <v>0.679872650787393</v>
      </c>
      <c r="T120">
        <f t="shared" si="12"/>
        <v>-0.38584977660458</v>
      </c>
    </row>
    <row r="121" spans="1:20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</v>
      </c>
      <c r="P121">
        <f t="shared" si="8"/>
        <v>0.0442265620986182</v>
      </c>
      <c r="Q121">
        <f t="shared" si="9"/>
        <v>0</v>
      </c>
      <c r="R121">
        <f t="shared" si="10"/>
        <v>0</v>
      </c>
      <c r="S121">
        <f t="shared" si="11"/>
        <v>0.955773437901382</v>
      </c>
      <c r="T121">
        <f t="shared" si="12"/>
        <v>-0.0452343836601248</v>
      </c>
    </row>
    <row r="122" spans="1:20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-3.14498935298767</v>
      </c>
      <c r="P122">
        <f t="shared" si="8"/>
        <v>0.0412891662633331</v>
      </c>
      <c r="Q122">
        <f t="shared" si="9"/>
        <v>0</v>
      </c>
      <c r="R122">
        <f t="shared" si="10"/>
        <v>0</v>
      </c>
      <c r="S122">
        <f t="shared" si="11"/>
        <v>0.958710833736667</v>
      </c>
      <c r="T122">
        <f t="shared" si="12"/>
        <v>-0.0421657785179884</v>
      </c>
    </row>
    <row r="123" spans="1:20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</v>
      </c>
      <c r="P123">
        <f t="shared" si="8"/>
        <v>0.993426853155719</v>
      </c>
      <c r="Q123">
        <f t="shared" si="9"/>
        <v>1</v>
      </c>
      <c r="R123">
        <f t="shared" si="10"/>
        <v>0</v>
      </c>
      <c r="S123">
        <f t="shared" si="11"/>
        <v>0.993426853155719</v>
      </c>
      <c r="T123">
        <f t="shared" si="12"/>
        <v>-0.00659484511019106</v>
      </c>
    </row>
    <row r="124" spans="1:20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3.21153277927362</v>
      </c>
      <c r="P124">
        <f t="shared" si="8"/>
        <v>0.961265976948785</v>
      </c>
      <c r="Q124">
        <f t="shared" si="9"/>
        <v>1</v>
      </c>
      <c r="R124">
        <f t="shared" si="10"/>
        <v>0</v>
      </c>
      <c r="S124">
        <f t="shared" si="11"/>
        <v>0.961265976948785</v>
      </c>
      <c r="T124">
        <f t="shared" si="12"/>
        <v>-0.0395041372873704</v>
      </c>
    </row>
    <row r="125" spans="1:20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2.77593863266607</v>
      </c>
      <c r="P125">
        <f t="shared" si="8"/>
        <v>0.94136165889388</v>
      </c>
      <c r="Q125">
        <f t="shared" si="9"/>
        <v>1</v>
      </c>
      <c r="R125">
        <f t="shared" si="10"/>
        <v>0</v>
      </c>
      <c r="S125">
        <f t="shared" si="11"/>
        <v>0.94136165889388</v>
      </c>
      <c r="T125">
        <f t="shared" si="12"/>
        <v>-0.0604278785969039</v>
      </c>
    </row>
    <row r="126" spans="1:20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5.32709559228998</v>
      </c>
      <c r="P126">
        <f t="shared" si="8"/>
        <v>0.995165327990705</v>
      </c>
      <c r="Q126">
        <f t="shared" si="9"/>
        <v>1</v>
      </c>
      <c r="R126">
        <f t="shared" si="10"/>
        <v>0</v>
      </c>
      <c r="S126">
        <f t="shared" si="11"/>
        <v>0.995165327990705</v>
      </c>
      <c r="T126">
        <f t="shared" si="12"/>
        <v>-0.00484639684175826</v>
      </c>
    </row>
    <row r="127" spans="1:20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-1.10165211301541</v>
      </c>
      <c r="P127">
        <f t="shared" si="8"/>
        <v>0.24943046619413</v>
      </c>
      <c r="Q127">
        <f t="shared" si="9"/>
        <v>0</v>
      </c>
      <c r="R127">
        <f t="shared" si="10"/>
        <v>0</v>
      </c>
      <c r="S127">
        <f t="shared" si="11"/>
        <v>0.75056953380587</v>
      </c>
      <c r="T127">
        <f t="shared" si="12"/>
        <v>-0.286922982225854</v>
      </c>
    </row>
    <row r="128" spans="1:20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</v>
      </c>
      <c r="P128">
        <f t="shared" si="8"/>
        <v>0.982875231526721</v>
      </c>
      <c r="Q128">
        <f t="shared" si="9"/>
        <v>1</v>
      </c>
      <c r="R128">
        <f t="shared" si="10"/>
        <v>0</v>
      </c>
      <c r="S128">
        <f t="shared" si="11"/>
        <v>0.982875231526721</v>
      </c>
      <c r="T128">
        <f t="shared" si="12"/>
        <v>-0.017273093109787</v>
      </c>
    </row>
    <row r="129" spans="1:20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-2.01943395056634</v>
      </c>
      <c r="P129">
        <f t="shared" si="8"/>
        <v>0.117177534281045</v>
      </c>
      <c r="Q129">
        <f t="shared" si="9"/>
        <v>0</v>
      </c>
      <c r="R129">
        <f t="shared" si="10"/>
        <v>1</v>
      </c>
      <c r="S129">
        <f t="shared" si="11"/>
        <v>0.117177534281045</v>
      </c>
      <c r="T129">
        <f t="shared" si="12"/>
        <v>-2.14406510723533</v>
      </c>
    </row>
    <row r="130" spans="1:20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</v>
      </c>
      <c r="P130">
        <f t="shared" si="8"/>
        <v>0.0332807683817666</v>
      </c>
      <c r="Q130">
        <f t="shared" si="9"/>
        <v>0</v>
      </c>
      <c r="R130">
        <f t="shared" si="10"/>
        <v>0</v>
      </c>
      <c r="S130">
        <f t="shared" si="11"/>
        <v>0.966719231618233</v>
      </c>
      <c r="T130">
        <f t="shared" si="12"/>
        <v>-0.0338471756179825</v>
      </c>
    </row>
    <row r="131" spans="1:20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</v>
      </c>
      <c r="P131">
        <f t="shared" si="8"/>
        <v>0.996579101301233</v>
      </c>
      <c r="Q131">
        <f t="shared" si="9"/>
        <v>1</v>
      </c>
      <c r="R131">
        <f t="shared" si="10"/>
        <v>0</v>
      </c>
      <c r="S131">
        <f t="shared" si="11"/>
        <v>0.996579101301233</v>
      </c>
      <c r="T131">
        <f t="shared" si="12"/>
        <v>-0.00342676335146256</v>
      </c>
    </row>
    <row r="132" spans="1:20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</v>
      </c>
      <c r="P132">
        <f t="shared" si="8"/>
        <v>0.958818928026087</v>
      </c>
      <c r="Q132">
        <f t="shared" si="9"/>
        <v>1</v>
      </c>
      <c r="R132">
        <f t="shared" si="10"/>
        <v>0</v>
      </c>
      <c r="S132">
        <f t="shared" si="11"/>
        <v>0.958818928026087</v>
      </c>
      <c r="T132">
        <f t="shared" si="12"/>
        <v>-0.0420530352462127</v>
      </c>
    </row>
    <row r="133" spans="1:20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-3.45848931143512</v>
      </c>
      <c r="P133">
        <f t="shared" si="8"/>
        <v>0.0305166959460336</v>
      </c>
      <c r="Q133">
        <f t="shared" si="9"/>
        <v>0</v>
      </c>
      <c r="R133">
        <f t="shared" si="10"/>
        <v>0</v>
      </c>
      <c r="S133">
        <f t="shared" si="11"/>
        <v>0.969483304053966</v>
      </c>
      <c r="T133">
        <f t="shared" si="12"/>
        <v>-0.0309920256401188</v>
      </c>
    </row>
    <row r="134" spans="1:20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</v>
      </c>
      <c r="P134">
        <f t="shared" si="8"/>
        <v>0.0244163686911542</v>
      </c>
      <c r="Q134">
        <f t="shared" si="9"/>
        <v>0</v>
      </c>
      <c r="R134">
        <f t="shared" si="10"/>
        <v>0</v>
      </c>
      <c r="S134">
        <f t="shared" si="11"/>
        <v>0.975583631308846</v>
      </c>
      <c r="T134">
        <f t="shared" si="12"/>
        <v>-0.0247193908573392</v>
      </c>
    </row>
    <row r="135" spans="1:20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SUMPRODUCT(A$4:M$4,A135:M135)+N$4</f>
        <v>0.175966149883265</v>
      </c>
      <c r="P135">
        <f t="shared" ref="P135:P198" si="14">1/(1+EXP(0-O135))</f>
        <v>0.543878374710603</v>
      </c>
      <c r="Q135">
        <f t="shared" ref="Q135:Q198" si="15">IF(P135&lt;=0.5,0,1)</f>
        <v>1</v>
      </c>
      <c r="R135">
        <f t="shared" ref="R135:R198" si="16">IF(N135=Q135,0,1)</f>
        <v>1</v>
      </c>
      <c r="S135">
        <f t="shared" ref="S135:S198" si="17">IF(N135=1,P135,1-P135)</f>
        <v>0.456121625289397</v>
      </c>
      <c r="T135">
        <f t="shared" ref="T135:T198" si="18">IF(S135=0,-100000,LN(S135))</f>
        <v>-0.784995782905903</v>
      </c>
    </row>
    <row r="136" spans="1:20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0.328321052287776</v>
      </c>
      <c r="P136">
        <f t="shared" si="14"/>
        <v>0.58135080701215</v>
      </c>
      <c r="Q136">
        <f t="shared" si="15"/>
        <v>1</v>
      </c>
      <c r="R136">
        <f t="shared" si="16"/>
        <v>1</v>
      </c>
      <c r="S136">
        <f t="shared" si="17"/>
        <v>0.41864919298785</v>
      </c>
      <c r="T136">
        <f t="shared" si="18"/>
        <v>-0.870721957987084</v>
      </c>
    </row>
    <row r="137" spans="1:20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</v>
      </c>
      <c r="P137">
        <f t="shared" si="14"/>
        <v>0.0370937371536408</v>
      </c>
      <c r="Q137">
        <f t="shared" si="15"/>
        <v>0</v>
      </c>
      <c r="R137">
        <f t="shared" si="16"/>
        <v>0</v>
      </c>
      <c r="S137">
        <f t="shared" si="17"/>
        <v>0.962906262846359</v>
      </c>
      <c r="T137">
        <f t="shared" si="18"/>
        <v>-0.037799210606714</v>
      </c>
    </row>
    <row r="138" spans="1:20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-0.634270301797705</v>
      </c>
      <c r="P138">
        <f t="shared" si="14"/>
        <v>0.346542891418189</v>
      </c>
      <c r="Q138">
        <f t="shared" si="15"/>
        <v>0</v>
      </c>
      <c r="R138">
        <f t="shared" si="16"/>
        <v>0</v>
      </c>
      <c r="S138">
        <f t="shared" si="17"/>
        <v>0.653457108581811</v>
      </c>
      <c r="T138">
        <f t="shared" si="18"/>
        <v>-0.425478381458496</v>
      </c>
    </row>
    <row r="139" spans="1:20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</v>
      </c>
      <c r="P139">
        <f t="shared" si="14"/>
        <v>0.0309310717584169</v>
      </c>
      <c r="Q139">
        <f t="shared" si="15"/>
        <v>0</v>
      </c>
      <c r="R139">
        <f t="shared" si="16"/>
        <v>0</v>
      </c>
      <c r="S139">
        <f t="shared" si="17"/>
        <v>0.969068928241583</v>
      </c>
      <c r="T139">
        <f t="shared" si="18"/>
        <v>-0.0314195362449827</v>
      </c>
    </row>
    <row r="140" spans="1:20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-2.82317617618384</v>
      </c>
      <c r="P140">
        <f t="shared" si="14"/>
        <v>0.0560845524745396</v>
      </c>
      <c r="Q140">
        <f t="shared" si="15"/>
        <v>0</v>
      </c>
      <c r="R140">
        <f t="shared" si="16"/>
        <v>0</v>
      </c>
      <c r="S140">
        <f t="shared" si="17"/>
        <v>0.94391544752546</v>
      </c>
      <c r="T140">
        <f t="shared" si="18"/>
        <v>-0.0577186851474164</v>
      </c>
    </row>
    <row r="141" spans="1:20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2.71151966325364</v>
      </c>
      <c r="P141">
        <f t="shared" si="14"/>
        <v>0.937702980492329</v>
      </c>
      <c r="Q141">
        <f t="shared" si="15"/>
        <v>1</v>
      </c>
      <c r="R141">
        <f t="shared" si="16"/>
        <v>0</v>
      </c>
      <c r="S141">
        <f t="shared" si="17"/>
        <v>0.937702980492329</v>
      </c>
      <c r="T141">
        <f t="shared" si="18"/>
        <v>-0.064322032047874</v>
      </c>
    </row>
    <row r="142" spans="1:20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2.02598389664648</v>
      </c>
      <c r="P142">
        <f t="shared" si="14"/>
        <v>0.883498340577488</v>
      </c>
      <c r="Q142">
        <f t="shared" si="15"/>
        <v>1</v>
      </c>
      <c r="R142">
        <f t="shared" si="16"/>
        <v>0</v>
      </c>
      <c r="S142">
        <f t="shared" si="17"/>
        <v>0.883498340577488</v>
      </c>
      <c r="T142">
        <f t="shared" si="18"/>
        <v>-0.123865865461289</v>
      </c>
    </row>
    <row r="143" spans="1:20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1.80515855412611</v>
      </c>
      <c r="P143">
        <f t="shared" si="14"/>
        <v>0.858775723090147</v>
      </c>
      <c r="Q143">
        <f t="shared" si="15"/>
        <v>1</v>
      </c>
      <c r="R143">
        <f t="shared" si="16"/>
        <v>0</v>
      </c>
      <c r="S143">
        <f t="shared" si="17"/>
        <v>0.858775723090147</v>
      </c>
      <c r="T143">
        <f t="shared" si="18"/>
        <v>-0.152247481786307</v>
      </c>
    </row>
    <row r="144" spans="1:20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</v>
      </c>
      <c r="P144">
        <f t="shared" si="14"/>
        <v>0.116933240243128</v>
      </c>
      <c r="Q144">
        <f t="shared" si="15"/>
        <v>0</v>
      </c>
      <c r="R144">
        <f t="shared" si="16"/>
        <v>0</v>
      </c>
      <c r="S144">
        <f t="shared" si="17"/>
        <v>0.883066759756872</v>
      </c>
      <c r="T144">
        <f t="shared" si="18"/>
        <v>-0.124354475622465</v>
      </c>
    </row>
    <row r="145" spans="1:20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-2.13490227111947</v>
      </c>
      <c r="P145">
        <f t="shared" si="14"/>
        <v>0.105750500174396</v>
      </c>
      <c r="Q145">
        <f t="shared" si="15"/>
        <v>0</v>
      </c>
      <c r="R145">
        <f t="shared" si="16"/>
        <v>0</v>
      </c>
      <c r="S145">
        <f t="shared" si="17"/>
        <v>0.894249499825604</v>
      </c>
      <c r="T145">
        <f t="shared" si="18"/>
        <v>-0.111770460165946</v>
      </c>
    </row>
    <row r="146" spans="1:20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0.00798584963118021</v>
      </c>
      <c r="P146">
        <f t="shared" si="14"/>
        <v>0.501996451797697</v>
      </c>
      <c r="Q146">
        <f t="shared" si="15"/>
        <v>1</v>
      </c>
      <c r="R146">
        <f t="shared" si="16"/>
        <v>0</v>
      </c>
      <c r="S146">
        <f t="shared" si="17"/>
        <v>0.501996451797697</v>
      </c>
      <c r="T146">
        <f t="shared" si="18"/>
        <v>-0.689162227447464</v>
      </c>
    </row>
    <row r="147" spans="1:20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-4.76557801174946</v>
      </c>
      <c r="P147">
        <f t="shared" si="14"/>
        <v>0.00844602044384271</v>
      </c>
      <c r="Q147">
        <f t="shared" si="15"/>
        <v>0</v>
      </c>
      <c r="R147">
        <f t="shared" si="16"/>
        <v>0</v>
      </c>
      <c r="S147">
        <f t="shared" si="17"/>
        <v>0.991553979556157</v>
      </c>
      <c r="T147">
        <f t="shared" si="18"/>
        <v>-0.0084818901883735</v>
      </c>
    </row>
    <row r="148" spans="1:20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1.52213259468011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-0.197412086617557</v>
      </c>
    </row>
    <row r="149" spans="1:20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0.499684914630993</v>
      </c>
      <c r="P149">
        <f t="shared" si="14"/>
        <v>0.622385282113895</v>
      </c>
      <c r="Q149">
        <f t="shared" si="15"/>
        <v>1</v>
      </c>
      <c r="R149">
        <f t="shared" si="16"/>
        <v>1</v>
      </c>
      <c r="S149">
        <f t="shared" si="17"/>
        <v>0.377614717886105</v>
      </c>
      <c r="T149">
        <f t="shared" si="18"/>
        <v>-0.973880868017785</v>
      </c>
    </row>
    <row r="150" spans="1:20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</v>
      </c>
      <c r="P150">
        <f t="shared" si="14"/>
        <v>0.0614136309865468</v>
      </c>
      <c r="Q150">
        <f t="shared" si="15"/>
        <v>0</v>
      </c>
      <c r="R150">
        <f t="shared" si="16"/>
        <v>1</v>
      </c>
      <c r="S150">
        <f t="shared" si="17"/>
        <v>0.0614136309865468</v>
      </c>
      <c r="T150">
        <f t="shared" si="18"/>
        <v>-2.79012346542985</v>
      </c>
    </row>
    <row r="151" spans="1:20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</v>
      </c>
      <c r="P151">
        <f t="shared" si="14"/>
        <v>0.995279924502733</v>
      </c>
      <c r="Q151">
        <f t="shared" si="15"/>
        <v>1</v>
      </c>
      <c r="R151">
        <f t="shared" si="16"/>
        <v>0</v>
      </c>
      <c r="S151">
        <f t="shared" si="17"/>
        <v>0.995279924502733</v>
      </c>
      <c r="T151">
        <f t="shared" si="18"/>
        <v>-0.0047312502312089</v>
      </c>
    </row>
    <row r="152" spans="1:20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-3.06856045070142</v>
      </c>
      <c r="P152">
        <f t="shared" si="14"/>
        <v>0.0444228956794437</v>
      </c>
      <c r="Q152">
        <f t="shared" si="15"/>
        <v>0</v>
      </c>
      <c r="R152">
        <f t="shared" si="16"/>
        <v>0</v>
      </c>
      <c r="S152">
        <f t="shared" si="17"/>
        <v>0.955577104320556</v>
      </c>
      <c r="T152">
        <f t="shared" si="18"/>
        <v>-0.0454398232978877</v>
      </c>
    </row>
    <row r="153" spans="1:20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</v>
      </c>
      <c r="P153">
        <f t="shared" si="14"/>
        <v>0.0870352067366277</v>
      </c>
      <c r="Q153">
        <f t="shared" si="15"/>
        <v>0</v>
      </c>
      <c r="R153">
        <f t="shared" si="16"/>
        <v>0</v>
      </c>
      <c r="S153">
        <f t="shared" si="17"/>
        <v>0.912964793263372</v>
      </c>
      <c r="T153">
        <f t="shared" si="18"/>
        <v>-0.0910579607261161</v>
      </c>
    </row>
    <row r="154" spans="1:20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-2.89013844534805</v>
      </c>
      <c r="P154">
        <f t="shared" si="14"/>
        <v>0.0526432134743372</v>
      </c>
      <c r="Q154">
        <f t="shared" si="15"/>
        <v>0</v>
      </c>
      <c r="R154">
        <f t="shared" si="16"/>
        <v>0</v>
      </c>
      <c r="S154">
        <f t="shared" si="17"/>
        <v>0.947356786525663</v>
      </c>
      <c r="T154">
        <f t="shared" si="18"/>
        <v>-0.0540795022352647</v>
      </c>
    </row>
    <row r="155" spans="1:20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</v>
      </c>
      <c r="P155">
        <f t="shared" si="14"/>
        <v>0.126395421723245</v>
      </c>
      <c r="Q155">
        <f t="shared" si="15"/>
        <v>0</v>
      </c>
      <c r="R155">
        <f t="shared" si="16"/>
        <v>0</v>
      </c>
      <c r="S155">
        <f t="shared" si="17"/>
        <v>0.873604578276755</v>
      </c>
      <c r="T155">
        <f t="shared" si="18"/>
        <v>-0.135127433303815</v>
      </c>
    </row>
    <row r="156" spans="1:20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</v>
      </c>
      <c r="P156">
        <f t="shared" si="14"/>
        <v>0.168286700138884</v>
      </c>
      <c r="Q156">
        <f t="shared" si="15"/>
        <v>0</v>
      </c>
      <c r="R156">
        <f t="shared" si="16"/>
        <v>0</v>
      </c>
      <c r="S156">
        <f t="shared" si="17"/>
        <v>0.831713299861116</v>
      </c>
      <c r="T156">
        <f t="shared" si="18"/>
        <v>-0.184267489059309</v>
      </c>
    </row>
    <row r="157" spans="1:20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0.116394113500019</v>
      </c>
      <c r="P157">
        <f t="shared" si="14"/>
        <v>0.529065721576088</v>
      </c>
      <c r="Q157">
        <f t="shared" si="15"/>
        <v>1</v>
      </c>
      <c r="R157">
        <f t="shared" si="16"/>
        <v>1</v>
      </c>
      <c r="S157">
        <f t="shared" si="17"/>
        <v>0.470934278423912</v>
      </c>
      <c r="T157">
        <f t="shared" si="18"/>
        <v>-0.753036730956772</v>
      </c>
    </row>
    <row r="158" spans="1:20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</v>
      </c>
      <c r="P158">
        <f t="shared" si="14"/>
        <v>0.985057483479204</v>
      </c>
      <c r="Q158">
        <f t="shared" si="15"/>
        <v>1</v>
      </c>
      <c r="R158">
        <f t="shared" si="16"/>
        <v>0</v>
      </c>
      <c r="S158">
        <f t="shared" si="17"/>
        <v>0.985057483479204</v>
      </c>
      <c r="T158">
        <f t="shared" si="18"/>
        <v>-0.0150552806507242</v>
      </c>
    </row>
    <row r="159" spans="1:20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3.43761986184828</v>
      </c>
      <c r="P159">
        <f t="shared" si="14"/>
        <v>0.968859785960485</v>
      </c>
      <c r="Q159">
        <f t="shared" si="15"/>
        <v>1</v>
      </c>
      <c r="R159">
        <f t="shared" si="16"/>
        <v>0</v>
      </c>
      <c r="S159">
        <f t="shared" si="17"/>
        <v>0.968859785960485</v>
      </c>
      <c r="T159">
        <f t="shared" si="18"/>
        <v>-0.0316353772925687</v>
      </c>
    </row>
    <row r="160" spans="1:20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4.79289553645879</v>
      </c>
      <c r="P160">
        <f t="shared" si="14"/>
        <v>0.991779710070258</v>
      </c>
      <c r="Q160">
        <f t="shared" si="15"/>
        <v>1</v>
      </c>
      <c r="R160">
        <f t="shared" si="16"/>
        <v>0</v>
      </c>
      <c r="S160">
        <f t="shared" si="17"/>
        <v>0.991779710070258</v>
      </c>
      <c r="T160">
        <f t="shared" si="18"/>
        <v>-0.00825426281910538</v>
      </c>
    </row>
    <row r="161" spans="1:20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1.10544640180851</v>
      </c>
      <c r="P161">
        <f t="shared" si="14"/>
        <v>0.751279205675962</v>
      </c>
      <c r="Q161">
        <f t="shared" si="15"/>
        <v>1</v>
      </c>
      <c r="R161">
        <f t="shared" si="16"/>
        <v>0</v>
      </c>
      <c r="S161">
        <f t="shared" si="17"/>
        <v>0.751279205675962</v>
      </c>
      <c r="T161">
        <f t="shared" si="18"/>
        <v>-0.285977917780606</v>
      </c>
    </row>
    <row r="162" spans="1:20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</v>
      </c>
      <c r="P162">
        <f t="shared" si="14"/>
        <v>0.916505880063633</v>
      </c>
      <c r="Q162">
        <f t="shared" si="15"/>
        <v>1</v>
      </c>
      <c r="R162">
        <f t="shared" si="16"/>
        <v>0</v>
      </c>
      <c r="S162">
        <f t="shared" si="17"/>
        <v>0.916505880063633</v>
      </c>
      <c r="T162">
        <f t="shared" si="18"/>
        <v>-0.0871867959415799</v>
      </c>
    </row>
    <row r="163" spans="1:20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3.58073778843314</v>
      </c>
      <c r="P163">
        <f t="shared" si="14"/>
        <v>0.972899741994038</v>
      </c>
      <c r="Q163">
        <f t="shared" si="15"/>
        <v>1</v>
      </c>
      <c r="R163">
        <f t="shared" si="16"/>
        <v>0</v>
      </c>
      <c r="S163">
        <f t="shared" si="17"/>
        <v>0.972899741994038</v>
      </c>
      <c r="T163">
        <f t="shared" si="18"/>
        <v>-0.0274742421934737</v>
      </c>
    </row>
    <row r="164" spans="1:20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</v>
      </c>
      <c r="P164">
        <f t="shared" si="14"/>
        <v>0.57388083506042</v>
      </c>
      <c r="Q164">
        <f t="shared" si="15"/>
        <v>1</v>
      </c>
      <c r="R164">
        <f t="shared" si="16"/>
        <v>1</v>
      </c>
      <c r="S164">
        <f t="shared" si="17"/>
        <v>0.42611916493958</v>
      </c>
      <c r="T164">
        <f t="shared" si="18"/>
        <v>-0.853036241924763</v>
      </c>
    </row>
    <row r="165" spans="1:20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</v>
      </c>
      <c r="P165">
        <f t="shared" si="14"/>
        <v>0.0318160543113895</v>
      </c>
      <c r="Q165">
        <f t="shared" si="15"/>
        <v>0</v>
      </c>
      <c r="R165">
        <f t="shared" si="16"/>
        <v>0</v>
      </c>
      <c r="S165">
        <f t="shared" si="17"/>
        <v>0.968183945688611</v>
      </c>
      <c r="T165">
        <f t="shared" si="18"/>
        <v>-0.0323331832204948</v>
      </c>
    </row>
    <row r="166" spans="1:20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3.15080000209859</v>
      </c>
      <c r="P166">
        <f t="shared" si="14"/>
        <v>0.958940232540116</v>
      </c>
      <c r="Q166">
        <f t="shared" si="15"/>
        <v>1</v>
      </c>
      <c r="R166">
        <f t="shared" si="16"/>
        <v>0</v>
      </c>
      <c r="S166">
        <f t="shared" si="17"/>
        <v>0.958940232540116</v>
      </c>
      <c r="T166">
        <f t="shared" si="18"/>
        <v>-0.0419265287310194</v>
      </c>
    </row>
    <row r="167" spans="1:20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-3.39288966646854</v>
      </c>
      <c r="P167">
        <f t="shared" si="14"/>
        <v>0.0325184206758141</v>
      </c>
      <c r="Q167">
        <f t="shared" si="15"/>
        <v>0</v>
      </c>
      <c r="R167">
        <f t="shared" si="16"/>
        <v>0</v>
      </c>
      <c r="S167">
        <f t="shared" si="17"/>
        <v>0.967481579324186</v>
      </c>
      <c r="T167">
        <f t="shared" si="18"/>
        <v>-0.0330588937176588</v>
      </c>
    </row>
    <row r="168" spans="1:20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-1.85843999480791</v>
      </c>
      <c r="P168">
        <f t="shared" si="14"/>
        <v>0.134884986896699</v>
      </c>
      <c r="Q168">
        <f t="shared" si="15"/>
        <v>0</v>
      </c>
      <c r="R168">
        <f t="shared" si="16"/>
        <v>0</v>
      </c>
      <c r="S168">
        <f t="shared" si="17"/>
        <v>0.865115013103301</v>
      </c>
      <c r="T168">
        <f t="shared" si="18"/>
        <v>-0.144892817763867</v>
      </c>
    </row>
    <row r="169" spans="1:20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</v>
      </c>
      <c r="P169">
        <f t="shared" si="14"/>
        <v>0.221317161780198</v>
      </c>
      <c r="Q169">
        <f t="shared" si="15"/>
        <v>0</v>
      </c>
      <c r="R169">
        <f t="shared" si="16"/>
        <v>0</v>
      </c>
      <c r="S169">
        <f t="shared" si="17"/>
        <v>0.778682838219802</v>
      </c>
      <c r="T169">
        <f t="shared" si="18"/>
        <v>-0.250151455656055</v>
      </c>
    </row>
    <row r="170" spans="1:20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0.0760461726020099</v>
      </c>
      <c r="P170">
        <f t="shared" si="14"/>
        <v>0.519002386434043</v>
      </c>
      <c r="Q170">
        <f t="shared" si="15"/>
        <v>1</v>
      </c>
      <c r="R170">
        <f t="shared" si="16"/>
        <v>1</v>
      </c>
      <c r="S170">
        <f t="shared" si="17"/>
        <v>0.480997613565957</v>
      </c>
      <c r="T170">
        <f t="shared" si="18"/>
        <v>-0.731892970290019</v>
      </c>
    </row>
    <row r="171" spans="1:20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</v>
      </c>
      <c r="P171">
        <f t="shared" si="14"/>
        <v>0.0835954262438368</v>
      </c>
      <c r="Q171">
        <f t="shared" si="15"/>
        <v>0</v>
      </c>
      <c r="R171">
        <f t="shared" si="16"/>
        <v>0</v>
      </c>
      <c r="S171">
        <f t="shared" si="17"/>
        <v>0.916404573756163</v>
      </c>
      <c r="T171">
        <f t="shared" si="18"/>
        <v>-0.0872973374111452</v>
      </c>
    </row>
    <row r="172" spans="1:20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1.35623569003397</v>
      </c>
      <c r="P172">
        <f t="shared" si="14"/>
        <v>0.795147217546934</v>
      </c>
      <c r="Q172">
        <f t="shared" si="15"/>
        <v>1</v>
      </c>
      <c r="R172">
        <f t="shared" si="16"/>
        <v>0</v>
      </c>
      <c r="S172">
        <f t="shared" si="17"/>
        <v>0.795147217546934</v>
      </c>
      <c r="T172">
        <f t="shared" si="18"/>
        <v>-0.229228002167057</v>
      </c>
    </row>
    <row r="173" spans="1:20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</v>
      </c>
      <c r="P173">
        <f t="shared" si="14"/>
        <v>0.0171987588546508</v>
      </c>
      <c r="Q173">
        <f t="shared" si="15"/>
        <v>0</v>
      </c>
      <c r="R173">
        <f t="shared" si="16"/>
        <v>0</v>
      </c>
      <c r="S173">
        <f t="shared" si="17"/>
        <v>0.982801241145349</v>
      </c>
      <c r="T173">
        <f t="shared" si="18"/>
        <v>-0.0173483754692548</v>
      </c>
    </row>
    <row r="174" spans="1:20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4.01137437719414</v>
      </c>
      <c r="P174">
        <f t="shared" si="14"/>
        <v>0.982213594716025</v>
      </c>
      <c r="Q174">
        <f t="shared" si="15"/>
        <v>1</v>
      </c>
      <c r="R174">
        <f t="shared" si="16"/>
        <v>0</v>
      </c>
      <c r="S174">
        <f t="shared" si="17"/>
        <v>0.982213594716025</v>
      </c>
      <c r="T174">
        <f t="shared" si="18"/>
        <v>-0.0179464843853997</v>
      </c>
    </row>
    <row r="175" spans="1:20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2.13619514122108</v>
      </c>
      <c r="P175">
        <f t="shared" si="14"/>
        <v>0.894371700797097</v>
      </c>
      <c r="Q175">
        <f t="shared" si="15"/>
        <v>1</v>
      </c>
      <c r="R175">
        <f t="shared" si="16"/>
        <v>1</v>
      </c>
      <c r="S175">
        <f t="shared" si="17"/>
        <v>0.105628299202903</v>
      </c>
      <c r="T175">
        <f t="shared" si="18"/>
        <v>-2.24782895873553</v>
      </c>
    </row>
    <row r="176" spans="1:20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</v>
      </c>
      <c r="P176">
        <f t="shared" si="14"/>
        <v>0.417312474304284</v>
      </c>
      <c r="Q176">
        <f t="shared" si="15"/>
        <v>0</v>
      </c>
      <c r="R176">
        <f t="shared" si="16"/>
        <v>1</v>
      </c>
      <c r="S176">
        <f t="shared" si="17"/>
        <v>0.417312474304284</v>
      </c>
      <c r="T176">
        <f t="shared" si="18"/>
        <v>-0.87391999893833</v>
      </c>
    </row>
    <row r="177" spans="1:20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-0.897713753468865</v>
      </c>
      <c r="P177">
        <f t="shared" si="14"/>
        <v>0.289520548232396</v>
      </c>
      <c r="Q177">
        <f t="shared" si="15"/>
        <v>0</v>
      </c>
      <c r="R177">
        <f t="shared" si="16"/>
        <v>0</v>
      </c>
      <c r="S177">
        <f t="shared" si="17"/>
        <v>0.710479451767604</v>
      </c>
      <c r="T177">
        <f t="shared" si="18"/>
        <v>-0.341815252668821</v>
      </c>
    </row>
    <row r="178" spans="1:20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3.87888627813804</v>
      </c>
      <c r="P178">
        <f t="shared" si="14"/>
        <v>0.979744913101086</v>
      </c>
      <c r="Q178">
        <f t="shared" si="15"/>
        <v>1</v>
      </c>
      <c r="R178">
        <f t="shared" si="16"/>
        <v>0</v>
      </c>
      <c r="S178">
        <f t="shared" si="17"/>
        <v>0.979744913101086</v>
      </c>
      <c r="T178">
        <f t="shared" si="18"/>
        <v>-0.0204630339535523</v>
      </c>
    </row>
    <row r="179" spans="1:20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</v>
      </c>
      <c r="P179">
        <f t="shared" si="14"/>
        <v>0.990800567171826</v>
      </c>
      <c r="Q179">
        <f t="shared" si="15"/>
        <v>1</v>
      </c>
      <c r="R179">
        <f t="shared" si="16"/>
        <v>0</v>
      </c>
      <c r="S179">
        <f t="shared" si="17"/>
        <v>0.990800567171826</v>
      </c>
      <c r="T179">
        <f t="shared" si="18"/>
        <v>-0.00924200892883847</v>
      </c>
    </row>
    <row r="180" spans="1:20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</v>
      </c>
      <c r="P180">
        <f t="shared" si="14"/>
        <v>0.882201870780304</v>
      </c>
      <c r="Q180">
        <f t="shared" si="15"/>
        <v>1</v>
      </c>
      <c r="R180">
        <f t="shared" si="16"/>
        <v>1</v>
      </c>
      <c r="S180">
        <f t="shared" si="17"/>
        <v>0.117798129219696</v>
      </c>
      <c r="T180">
        <f t="shared" si="18"/>
        <v>-2.13878288887805</v>
      </c>
    </row>
    <row r="181" spans="1:20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</v>
      </c>
      <c r="P181">
        <f t="shared" si="14"/>
        <v>0.977703445068018</v>
      </c>
      <c r="Q181">
        <f t="shared" si="15"/>
        <v>1</v>
      </c>
      <c r="R181">
        <f t="shared" si="16"/>
        <v>0</v>
      </c>
      <c r="S181">
        <f t="shared" si="17"/>
        <v>0.977703445068018</v>
      </c>
      <c r="T181">
        <f t="shared" si="18"/>
        <v>-0.0225488808314113</v>
      </c>
    </row>
    <row r="182" spans="1:20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-0.250330168083214</v>
      </c>
      <c r="P182">
        <f t="shared" si="14"/>
        <v>0.437742235164872</v>
      </c>
      <c r="Q182">
        <f t="shared" si="15"/>
        <v>0</v>
      </c>
      <c r="R182">
        <f t="shared" si="16"/>
        <v>0</v>
      </c>
      <c r="S182">
        <f t="shared" si="17"/>
        <v>0.562257764835128</v>
      </c>
      <c r="T182">
        <f t="shared" si="18"/>
        <v>-0.575794877948828</v>
      </c>
    </row>
    <row r="183" spans="1:20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</v>
      </c>
      <c r="P183">
        <f t="shared" si="14"/>
        <v>0.638729715535892</v>
      </c>
      <c r="Q183">
        <f t="shared" si="15"/>
        <v>1</v>
      </c>
      <c r="R183">
        <f t="shared" si="16"/>
        <v>1</v>
      </c>
      <c r="S183">
        <f t="shared" si="17"/>
        <v>0.361270284464108</v>
      </c>
      <c r="T183">
        <f t="shared" si="18"/>
        <v>-1.01812889036619</v>
      </c>
    </row>
    <row r="184" spans="1:20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0.64507392788818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-0.421747662469883</v>
      </c>
    </row>
    <row r="185" spans="1:20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4.27303607313947</v>
      </c>
      <c r="P185">
        <f t="shared" si="14"/>
        <v>0.986252237715391</v>
      </c>
      <c r="Q185">
        <f t="shared" si="15"/>
        <v>1</v>
      </c>
      <c r="R185">
        <f t="shared" si="16"/>
        <v>0</v>
      </c>
      <c r="S185">
        <f t="shared" si="17"/>
        <v>0.986252237715391</v>
      </c>
      <c r="T185">
        <f t="shared" si="18"/>
        <v>-0.0138431379116831</v>
      </c>
    </row>
    <row r="186" spans="1:20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</v>
      </c>
      <c r="P186">
        <f t="shared" si="14"/>
        <v>0.461427333292446</v>
      </c>
      <c r="Q186">
        <f t="shared" si="15"/>
        <v>0</v>
      </c>
      <c r="R186">
        <f t="shared" si="16"/>
        <v>0</v>
      </c>
      <c r="S186">
        <f t="shared" si="17"/>
        <v>0.538572666707554</v>
      </c>
      <c r="T186">
        <f t="shared" si="18"/>
        <v>-0.618832848671544</v>
      </c>
    </row>
    <row r="187" spans="1:20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</v>
      </c>
      <c r="P187">
        <f t="shared" si="14"/>
        <v>0.876457078745672</v>
      </c>
      <c r="Q187">
        <f t="shared" si="15"/>
        <v>1</v>
      </c>
      <c r="R187">
        <f t="shared" si="16"/>
        <v>1</v>
      </c>
      <c r="S187">
        <f t="shared" si="17"/>
        <v>0.123542921254328</v>
      </c>
      <c r="T187">
        <f t="shared" si="18"/>
        <v>-2.09116664277145</v>
      </c>
    </row>
    <row r="188" spans="1:20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-1.83074454499636</v>
      </c>
      <c r="P188">
        <f t="shared" si="14"/>
        <v>0.138149600566762</v>
      </c>
      <c r="Q188">
        <f t="shared" si="15"/>
        <v>0</v>
      </c>
      <c r="R188">
        <f t="shared" si="16"/>
        <v>1</v>
      </c>
      <c r="S188">
        <f t="shared" si="17"/>
        <v>0.138149600566762</v>
      </c>
      <c r="T188">
        <f t="shared" si="18"/>
        <v>-1.97941811891793</v>
      </c>
    </row>
    <row r="189" spans="1:20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</v>
      </c>
      <c r="P189">
        <f t="shared" si="14"/>
        <v>0.0883317942932319</v>
      </c>
      <c r="Q189">
        <f t="shared" si="15"/>
        <v>0</v>
      </c>
      <c r="R189">
        <f t="shared" si="16"/>
        <v>0</v>
      </c>
      <c r="S189">
        <f t="shared" si="17"/>
        <v>0.911668205706768</v>
      </c>
      <c r="T189">
        <f t="shared" si="18"/>
        <v>-0.0924791646346013</v>
      </c>
    </row>
    <row r="190" spans="1:20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</v>
      </c>
      <c r="P190">
        <f t="shared" si="14"/>
        <v>0.173864298495819</v>
      </c>
      <c r="Q190">
        <f t="shared" si="15"/>
        <v>0</v>
      </c>
      <c r="R190">
        <f t="shared" si="16"/>
        <v>0</v>
      </c>
      <c r="S190">
        <f t="shared" si="17"/>
        <v>0.826135701504181</v>
      </c>
      <c r="T190">
        <f t="shared" si="18"/>
        <v>-0.19099623141955</v>
      </c>
    </row>
    <row r="191" spans="1:20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</v>
      </c>
      <c r="P191">
        <f t="shared" si="14"/>
        <v>0.990860614046469</v>
      </c>
      <c r="Q191">
        <f t="shared" si="15"/>
        <v>1</v>
      </c>
      <c r="R191">
        <f t="shared" si="16"/>
        <v>0</v>
      </c>
      <c r="S191">
        <f t="shared" si="17"/>
        <v>0.990860614046469</v>
      </c>
      <c r="T191">
        <f t="shared" si="18"/>
        <v>-0.00918140636445388</v>
      </c>
    </row>
    <row r="192" spans="1:20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</v>
      </c>
      <c r="P192">
        <f t="shared" si="14"/>
        <v>0.743265952131779</v>
      </c>
      <c r="Q192">
        <f t="shared" si="15"/>
        <v>1</v>
      </c>
      <c r="R192">
        <f t="shared" si="16"/>
        <v>0</v>
      </c>
      <c r="S192">
        <f t="shared" si="17"/>
        <v>0.743265952131779</v>
      </c>
      <c r="T192">
        <f t="shared" si="18"/>
        <v>-0.296701354661153</v>
      </c>
    </row>
    <row r="193" spans="1:20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</v>
      </c>
      <c r="P193">
        <f t="shared" si="14"/>
        <v>0.990473634718202</v>
      </c>
      <c r="Q193">
        <f t="shared" si="15"/>
        <v>1</v>
      </c>
      <c r="R193">
        <f t="shared" si="16"/>
        <v>0</v>
      </c>
      <c r="S193">
        <f t="shared" si="17"/>
        <v>0.990473634718202</v>
      </c>
      <c r="T193">
        <f t="shared" si="18"/>
        <v>-0.00957203135206447</v>
      </c>
    </row>
    <row r="194" spans="1:20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-2.72637699310268</v>
      </c>
      <c r="P194">
        <f t="shared" si="14"/>
        <v>0.0614347356065808</v>
      </c>
      <c r="Q194">
        <f t="shared" si="15"/>
        <v>0</v>
      </c>
      <c r="R194">
        <f t="shared" si="16"/>
        <v>0</v>
      </c>
      <c r="S194">
        <f t="shared" si="17"/>
        <v>0.938565264393419</v>
      </c>
      <c r="T194">
        <f t="shared" si="18"/>
        <v>-0.0634028841977226</v>
      </c>
    </row>
    <row r="195" spans="1:20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7.17071562563029</v>
      </c>
      <c r="P195">
        <f t="shared" si="14"/>
        <v>0.999231818175862</v>
      </c>
      <c r="Q195">
        <f t="shared" si="15"/>
        <v>1</v>
      </c>
      <c r="R195">
        <f t="shared" si="16"/>
        <v>0</v>
      </c>
      <c r="S195">
        <f t="shared" si="17"/>
        <v>0.999231818175862</v>
      </c>
      <c r="T195">
        <f t="shared" si="18"/>
        <v>-0.000768477026985194</v>
      </c>
    </row>
    <row r="196" spans="1:20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</v>
      </c>
      <c r="P196">
        <f t="shared" si="14"/>
        <v>0.888211386286258</v>
      </c>
      <c r="Q196">
        <f t="shared" si="15"/>
        <v>1</v>
      </c>
      <c r="R196">
        <f t="shared" si="16"/>
        <v>0</v>
      </c>
      <c r="S196">
        <f t="shared" si="17"/>
        <v>0.888211386286258</v>
      </c>
      <c r="T196">
        <f t="shared" si="18"/>
        <v>-0.118545516699146</v>
      </c>
    </row>
    <row r="197" spans="1:20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-2.01155792457243</v>
      </c>
      <c r="P197">
        <f t="shared" si="14"/>
        <v>0.117994744988636</v>
      </c>
      <c r="Q197">
        <f t="shared" si="15"/>
        <v>0</v>
      </c>
      <c r="R197">
        <f t="shared" si="16"/>
        <v>0</v>
      </c>
      <c r="S197">
        <f t="shared" si="17"/>
        <v>0.882005255011364</v>
      </c>
      <c r="T197">
        <f t="shared" si="18"/>
        <v>-0.125557264930324</v>
      </c>
    </row>
    <row r="198" spans="1:20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</v>
      </c>
      <c r="P198">
        <f t="shared" si="14"/>
        <v>0.950538607778619</v>
      </c>
      <c r="Q198">
        <f t="shared" si="15"/>
        <v>1</v>
      </c>
      <c r="R198">
        <f t="shared" si="16"/>
        <v>0</v>
      </c>
      <c r="S198">
        <f t="shared" si="17"/>
        <v>0.950538607778619</v>
      </c>
      <c r="T198">
        <f t="shared" si="18"/>
        <v>-0.0507264994896897</v>
      </c>
    </row>
    <row r="199" spans="1:20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SUMPRODUCT(A$4:M$4,A199:M199)+N$4</f>
        <v>-1.21992917253113</v>
      </c>
      <c r="P199">
        <f t="shared" ref="P199:P262" si="20">1/(1+EXP(0-O199))</f>
        <v>0.227948915132304</v>
      </c>
      <c r="Q199">
        <f t="shared" ref="Q199:Q262" si="21">IF(P199&lt;=0.5,0,1)</f>
        <v>0</v>
      </c>
      <c r="R199">
        <f t="shared" ref="R199:R262" si="22">IF(N199=Q199,0,1)</f>
        <v>0</v>
      </c>
      <c r="S199">
        <f t="shared" ref="S199:S262" si="23">IF(N199=1,P199,1-P199)</f>
        <v>0.772051084867696</v>
      </c>
      <c r="T199">
        <f t="shared" ref="T199:T262" si="24">IF(S199=0,-100000,LN(S199))</f>
        <v>-0.258704559038224</v>
      </c>
    </row>
    <row r="200" spans="1:20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</v>
      </c>
      <c r="P200">
        <f t="shared" si="20"/>
        <v>0.329087595307432</v>
      </c>
      <c r="Q200">
        <f t="shared" si="21"/>
        <v>0</v>
      </c>
      <c r="R200">
        <f t="shared" si="22"/>
        <v>0</v>
      </c>
      <c r="S200">
        <f t="shared" si="23"/>
        <v>0.670912404692568</v>
      </c>
      <c r="T200">
        <f t="shared" si="24"/>
        <v>-0.399116694954523</v>
      </c>
    </row>
    <row r="201" spans="1:20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-4.29824049379719</v>
      </c>
      <c r="P201">
        <f t="shared" si="20"/>
        <v>0.0134101767805565</v>
      </c>
      <c r="Q201">
        <f t="shared" si="21"/>
        <v>0</v>
      </c>
      <c r="R201">
        <f t="shared" si="22"/>
        <v>0</v>
      </c>
      <c r="S201">
        <f t="shared" si="23"/>
        <v>0.986589823219443</v>
      </c>
      <c r="T201">
        <f t="shared" si="24"/>
        <v>-0.0135009052372769</v>
      </c>
    </row>
    <row r="202" spans="1:20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-1.60008096883873</v>
      </c>
      <c r="P202">
        <f t="shared" si="20"/>
        <v>0.167970298658368</v>
      </c>
      <c r="Q202">
        <f t="shared" si="21"/>
        <v>0</v>
      </c>
      <c r="R202">
        <f t="shared" si="22"/>
        <v>1</v>
      </c>
      <c r="S202">
        <f t="shared" si="23"/>
        <v>0.167970298658368</v>
      </c>
      <c r="T202">
        <f t="shared" si="24"/>
        <v>-1.78396810890892</v>
      </c>
    </row>
    <row r="203" spans="1:20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-3.05672739658227</v>
      </c>
      <c r="P203">
        <f t="shared" si="20"/>
        <v>0.0449279195586799</v>
      </c>
      <c r="Q203">
        <f t="shared" si="21"/>
        <v>0</v>
      </c>
      <c r="R203">
        <f t="shared" si="22"/>
        <v>0</v>
      </c>
      <c r="S203">
        <f t="shared" si="23"/>
        <v>0.95507208044132</v>
      </c>
      <c r="T203">
        <f t="shared" si="24"/>
        <v>-0.045968464447739</v>
      </c>
    </row>
    <row r="204" spans="1:20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-0.678033054036324</v>
      </c>
      <c r="P204">
        <f t="shared" si="20"/>
        <v>0.336700445846321</v>
      </c>
      <c r="Q204">
        <f t="shared" si="21"/>
        <v>0</v>
      </c>
      <c r="R204">
        <f t="shared" si="22"/>
        <v>0</v>
      </c>
      <c r="S204">
        <f t="shared" si="23"/>
        <v>0.663299554153679</v>
      </c>
      <c r="T204">
        <f t="shared" si="24"/>
        <v>-0.410528574614763</v>
      </c>
    </row>
    <row r="205" spans="1:20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-1.20587689177817</v>
      </c>
      <c r="P205">
        <f t="shared" si="20"/>
        <v>0.23043140036657</v>
      </c>
      <c r="Q205">
        <f t="shared" si="21"/>
        <v>0</v>
      </c>
      <c r="R205">
        <f t="shared" si="22"/>
        <v>0</v>
      </c>
      <c r="S205">
        <f t="shared" si="23"/>
        <v>0.76956859963343</v>
      </c>
      <c r="T205">
        <f t="shared" si="24"/>
        <v>-0.261925181355132</v>
      </c>
    </row>
    <row r="206" spans="1:20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-1.34263379539496</v>
      </c>
      <c r="P206">
        <f t="shared" si="20"/>
        <v>0.20707726552654</v>
      </c>
      <c r="Q206">
        <f t="shared" si="21"/>
        <v>0</v>
      </c>
      <c r="R206">
        <f t="shared" si="22"/>
        <v>0</v>
      </c>
      <c r="S206">
        <f t="shared" si="23"/>
        <v>0.79292273447346</v>
      </c>
      <c r="T206">
        <f t="shared" si="24"/>
        <v>-0.232029496554032</v>
      </c>
    </row>
    <row r="207" spans="1:20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</v>
      </c>
      <c r="P207">
        <f t="shared" si="20"/>
        <v>0.265771742327413</v>
      </c>
      <c r="Q207">
        <f t="shared" si="21"/>
        <v>0</v>
      </c>
      <c r="R207">
        <f t="shared" si="22"/>
        <v>0</v>
      </c>
      <c r="S207">
        <f t="shared" si="23"/>
        <v>0.734228257672587</v>
      </c>
      <c r="T207">
        <f t="shared" si="24"/>
        <v>-0.308935320955614</v>
      </c>
    </row>
    <row r="208" spans="1:20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</v>
      </c>
      <c r="P208">
        <f t="shared" si="20"/>
        <v>0.998154954474305</v>
      </c>
      <c r="Q208">
        <f t="shared" si="21"/>
        <v>1</v>
      </c>
      <c r="R208">
        <f t="shared" si="22"/>
        <v>0</v>
      </c>
      <c r="S208">
        <f t="shared" si="23"/>
        <v>0.998154954474305</v>
      </c>
      <c r="T208">
        <f t="shared" si="24"/>
        <v>-0.00184674971872235</v>
      </c>
    </row>
    <row r="209" spans="1:20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</v>
      </c>
      <c r="P209">
        <f t="shared" si="20"/>
        <v>0.995267906097772</v>
      </c>
      <c r="Q209">
        <f t="shared" si="21"/>
        <v>1</v>
      </c>
      <c r="R209">
        <f t="shared" si="22"/>
        <v>0</v>
      </c>
      <c r="S209">
        <f t="shared" si="23"/>
        <v>0.995267906097772</v>
      </c>
      <c r="T209">
        <f t="shared" si="24"/>
        <v>-0.00474332570588595</v>
      </c>
    </row>
    <row r="210" spans="1:20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</v>
      </c>
      <c r="P210">
        <f t="shared" si="20"/>
        <v>0.929537656196265</v>
      </c>
      <c r="Q210">
        <f t="shared" si="21"/>
        <v>1</v>
      </c>
      <c r="R210">
        <f t="shared" si="22"/>
        <v>0</v>
      </c>
      <c r="S210">
        <f t="shared" si="23"/>
        <v>0.929537656196265</v>
      </c>
      <c r="T210">
        <f t="shared" si="24"/>
        <v>-0.0730679603268076</v>
      </c>
    </row>
    <row r="211" spans="1:20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-2.85403593427243</v>
      </c>
      <c r="P211">
        <f t="shared" si="20"/>
        <v>0.0544730692066999</v>
      </c>
      <c r="Q211">
        <f t="shared" si="21"/>
        <v>0</v>
      </c>
      <c r="R211">
        <f t="shared" si="22"/>
        <v>0</v>
      </c>
      <c r="S211">
        <f t="shared" si="23"/>
        <v>0.9455269307933</v>
      </c>
      <c r="T211">
        <f t="shared" si="24"/>
        <v>-0.0560129081657287</v>
      </c>
    </row>
    <row r="212" spans="1:20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-0.859308369417618</v>
      </c>
      <c r="P212">
        <f t="shared" si="20"/>
        <v>0.297483867356806</v>
      </c>
      <c r="Q212">
        <f t="shared" si="21"/>
        <v>0</v>
      </c>
      <c r="R212">
        <f t="shared" si="22"/>
        <v>1</v>
      </c>
      <c r="S212">
        <f t="shared" si="23"/>
        <v>0.297483867356806</v>
      </c>
      <c r="T212">
        <f t="shared" si="24"/>
        <v>-1.21239528283889</v>
      </c>
    </row>
    <row r="213" spans="1:20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-4.12054651511829</v>
      </c>
      <c r="P213">
        <f t="shared" si="20"/>
        <v>0.0159762542974606</v>
      </c>
      <c r="Q213">
        <f t="shared" si="21"/>
        <v>0</v>
      </c>
      <c r="R213">
        <f t="shared" si="22"/>
        <v>0</v>
      </c>
      <c r="S213">
        <f t="shared" si="23"/>
        <v>0.984023745702539</v>
      </c>
      <c r="T213">
        <f t="shared" si="24"/>
        <v>-0.0161052504095274</v>
      </c>
    </row>
    <row r="214" spans="1:20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</v>
      </c>
      <c r="P214">
        <f t="shared" si="20"/>
        <v>0.418120455368094</v>
      </c>
      <c r="Q214">
        <f t="shared" si="21"/>
        <v>0</v>
      </c>
      <c r="R214">
        <f t="shared" si="22"/>
        <v>1</v>
      </c>
      <c r="S214">
        <f t="shared" si="23"/>
        <v>0.418120455368094</v>
      </c>
      <c r="T214">
        <f t="shared" si="24"/>
        <v>-0.871985717233526</v>
      </c>
    </row>
    <row r="215" spans="1:20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</v>
      </c>
      <c r="P215">
        <f t="shared" si="20"/>
        <v>0.262468582720003</v>
      </c>
      <c r="Q215">
        <f t="shared" si="21"/>
        <v>0</v>
      </c>
      <c r="R215">
        <f t="shared" si="22"/>
        <v>0</v>
      </c>
      <c r="S215">
        <f t="shared" si="23"/>
        <v>0.737531417279997</v>
      </c>
      <c r="T215">
        <f t="shared" si="24"/>
        <v>-0.304446591973813</v>
      </c>
    </row>
    <row r="216" spans="1:20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2.24036748156584</v>
      </c>
      <c r="P216">
        <f t="shared" si="20"/>
        <v>0.903816409050869</v>
      </c>
      <c r="Q216">
        <f t="shared" si="21"/>
        <v>1</v>
      </c>
      <c r="R216">
        <f t="shared" si="22"/>
        <v>0</v>
      </c>
      <c r="S216">
        <f t="shared" si="23"/>
        <v>0.903816409050869</v>
      </c>
      <c r="T216">
        <f t="shared" si="24"/>
        <v>-0.101129026548095</v>
      </c>
    </row>
    <row r="217" spans="1:20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-1.08798031839359</v>
      </c>
      <c r="P217">
        <f t="shared" si="20"/>
        <v>0.251998788362737</v>
      </c>
      <c r="Q217">
        <f t="shared" si="21"/>
        <v>0</v>
      </c>
      <c r="R217">
        <f t="shared" si="22"/>
        <v>1</v>
      </c>
      <c r="S217">
        <f t="shared" si="23"/>
        <v>0.251998788362737</v>
      </c>
      <c r="T217">
        <f t="shared" si="24"/>
        <v>-1.37833099956665</v>
      </c>
    </row>
    <row r="218" spans="1:20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</v>
      </c>
      <c r="P218">
        <f t="shared" si="20"/>
        <v>0.219638695313501</v>
      </c>
      <c r="Q218">
        <f t="shared" si="21"/>
        <v>0</v>
      </c>
      <c r="R218">
        <f t="shared" si="22"/>
        <v>0</v>
      </c>
      <c r="S218">
        <f t="shared" si="23"/>
        <v>0.780361304686499</v>
      </c>
      <c r="T218">
        <f t="shared" si="24"/>
        <v>-0.247998255411122</v>
      </c>
    </row>
    <row r="219" spans="1:20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</v>
      </c>
      <c r="P219">
        <f t="shared" si="20"/>
        <v>0.00506233668424703</v>
      </c>
      <c r="Q219">
        <f t="shared" si="21"/>
        <v>0</v>
      </c>
      <c r="R219">
        <f t="shared" si="22"/>
        <v>0</v>
      </c>
      <c r="S219">
        <f t="shared" si="23"/>
        <v>0.994937663315753</v>
      </c>
      <c r="T219">
        <f t="shared" si="24"/>
        <v>-0.00507519372004999</v>
      </c>
    </row>
    <row r="220" spans="1:20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-0.740983503634163</v>
      </c>
      <c r="P220">
        <f t="shared" si="20"/>
        <v>0.322789116044127</v>
      </c>
      <c r="Q220">
        <f t="shared" si="21"/>
        <v>0</v>
      </c>
      <c r="R220">
        <f t="shared" si="22"/>
        <v>0</v>
      </c>
      <c r="S220">
        <f t="shared" si="23"/>
        <v>0.677210883955873</v>
      </c>
      <c r="T220">
        <f t="shared" si="24"/>
        <v>-0.389772556856041</v>
      </c>
    </row>
    <row r="221" spans="1:20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1.34521370773302</v>
      </c>
      <c r="P221">
        <f t="shared" si="20"/>
        <v>0.793346026337713</v>
      </c>
      <c r="Q221">
        <f t="shared" si="21"/>
        <v>1</v>
      </c>
      <c r="R221">
        <f t="shared" si="22"/>
        <v>1</v>
      </c>
      <c r="S221">
        <f t="shared" si="23"/>
        <v>0.206653973662287</v>
      </c>
      <c r="T221">
        <f t="shared" si="24"/>
        <v>-1.57670950926038</v>
      </c>
    </row>
    <row r="222" spans="1:20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</v>
      </c>
      <c r="P222">
        <f t="shared" si="20"/>
        <v>0.169503709877513</v>
      </c>
      <c r="Q222">
        <f t="shared" si="21"/>
        <v>0</v>
      </c>
      <c r="R222">
        <f t="shared" si="22"/>
        <v>0</v>
      </c>
      <c r="S222">
        <f t="shared" si="23"/>
        <v>0.830496290122487</v>
      </c>
      <c r="T222">
        <f t="shared" si="24"/>
        <v>-0.18573181697972</v>
      </c>
    </row>
    <row r="223" spans="1:20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</v>
      </c>
      <c r="P223">
        <f t="shared" si="20"/>
        <v>0.061244078706456</v>
      </c>
      <c r="Q223">
        <f t="shared" si="21"/>
        <v>0</v>
      </c>
      <c r="R223">
        <f t="shared" si="22"/>
        <v>0</v>
      </c>
      <c r="S223">
        <f t="shared" si="23"/>
        <v>0.938755921293544</v>
      </c>
      <c r="T223">
        <f t="shared" si="24"/>
        <v>-0.0631997682874203</v>
      </c>
    </row>
    <row r="224" spans="1:20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</v>
      </c>
      <c r="P224">
        <f t="shared" si="20"/>
        <v>0.0210878816419941</v>
      </c>
      <c r="Q224">
        <f t="shared" si="21"/>
        <v>0</v>
      </c>
      <c r="R224">
        <f t="shared" si="22"/>
        <v>0</v>
      </c>
      <c r="S224">
        <f t="shared" si="23"/>
        <v>0.978912118358006</v>
      </c>
      <c r="T224">
        <f t="shared" si="24"/>
        <v>-0.0213134072245118</v>
      </c>
    </row>
    <row r="225" spans="1:20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-5.03993044143832</v>
      </c>
      <c r="P225">
        <f t="shared" si="20"/>
        <v>0.00643255301261594</v>
      </c>
      <c r="Q225">
        <f t="shared" si="21"/>
        <v>0</v>
      </c>
      <c r="R225">
        <f t="shared" si="22"/>
        <v>0</v>
      </c>
      <c r="S225">
        <f t="shared" si="23"/>
        <v>0.993567446987384</v>
      </c>
      <c r="T225">
        <f t="shared" si="24"/>
        <v>-0.00645333103348811</v>
      </c>
    </row>
    <row r="226" spans="1:20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</v>
      </c>
      <c r="P226">
        <f t="shared" si="20"/>
        <v>0.995502223783097</v>
      </c>
      <c r="Q226">
        <f t="shared" si="21"/>
        <v>1</v>
      </c>
      <c r="R226">
        <f t="shared" si="22"/>
        <v>0</v>
      </c>
      <c r="S226">
        <f t="shared" si="23"/>
        <v>0.995502223783097</v>
      </c>
      <c r="T226">
        <f t="shared" si="24"/>
        <v>-0.00450792164502459</v>
      </c>
    </row>
    <row r="227" spans="1:20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0.56598271356</v>
      </c>
      <c r="P227">
        <f t="shared" si="20"/>
        <v>0.637835691488406</v>
      </c>
      <c r="Q227">
        <f t="shared" si="21"/>
        <v>1</v>
      </c>
      <c r="R227">
        <f t="shared" si="22"/>
        <v>0</v>
      </c>
      <c r="S227">
        <f t="shared" si="23"/>
        <v>0.637835691488406</v>
      </c>
      <c r="T227">
        <f t="shared" si="24"/>
        <v>-0.449674565657685</v>
      </c>
    </row>
    <row r="228" spans="1:20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</v>
      </c>
      <c r="P228">
        <f t="shared" si="20"/>
        <v>0.00663667939891508</v>
      </c>
      <c r="Q228">
        <f t="shared" si="21"/>
        <v>0</v>
      </c>
      <c r="R228">
        <f t="shared" si="22"/>
        <v>0</v>
      </c>
      <c r="S228">
        <f t="shared" si="23"/>
        <v>0.993363320601085</v>
      </c>
      <c r="T228">
        <f t="shared" si="24"/>
        <v>-0.00665880008187883</v>
      </c>
    </row>
    <row r="229" spans="1:20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</v>
      </c>
      <c r="P229">
        <f t="shared" si="20"/>
        <v>0.115193181776452</v>
      </c>
      <c r="Q229">
        <f t="shared" si="21"/>
        <v>0</v>
      </c>
      <c r="R229">
        <f t="shared" si="22"/>
        <v>0</v>
      </c>
      <c r="S229">
        <f t="shared" si="23"/>
        <v>0.884806818223548</v>
      </c>
      <c r="T229">
        <f t="shared" si="24"/>
        <v>-0.122385942294901</v>
      </c>
    </row>
    <row r="230" spans="1:20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</v>
      </c>
      <c r="P230">
        <f t="shared" si="20"/>
        <v>0.0962321047255114</v>
      </c>
      <c r="Q230">
        <f t="shared" si="21"/>
        <v>0</v>
      </c>
      <c r="R230">
        <f t="shared" si="22"/>
        <v>0</v>
      </c>
      <c r="S230">
        <f t="shared" si="23"/>
        <v>0.903767895274489</v>
      </c>
      <c r="T230">
        <f t="shared" si="24"/>
        <v>-0.101182704571605</v>
      </c>
    </row>
    <row r="231" spans="1:20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</v>
      </c>
      <c r="P231">
        <f t="shared" si="20"/>
        <v>0.85528923819188</v>
      </c>
      <c r="Q231">
        <f t="shared" si="21"/>
        <v>1</v>
      </c>
      <c r="R231">
        <f t="shared" si="22"/>
        <v>0</v>
      </c>
      <c r="S231">
        <f t="shared" si="23"/>
        <v>0.85528923819188</v>
      </c>
      <c r="T231">
        <f t="shared" si="24"/>
        <v>-0.156315576969732</v>
      </c>
    </row>
    <row r="232" spans="1:20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0.643609335919309</v>
      </c>
      <c r="P232">
        <f t="shared" si="20"/>
        <v>0.655568899568215</v>
      </c>
      <c r="Q232">
        <f t="shared" si="21"/>
        <v>1</v>
      </c>
      <c r="R232">
        <f t="shared" si="22"/>
        <v>0</v>
      </c>
      <c r="S232">
        <f t="shared" si="23"/>
        <v>0.655568899568215</v>
      </c>
      <c r="T232">
        <f t="shared" si="24"/>
        <v>-0.422251871358163</v>
      </c>
    </row>
    <row r="233" spans="1:20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</v>
      </c>
      <c r="P233">
        <f t="shared" si="20"/>
        <v>0.050335238138125</v>
      </c>
      <c r="Q233">
        <f t="shared" si="21"/>
        <v>0</v>
      </c>
      <c r="R233">
        <f t="shared" si="22"/>
        <v>0</v>
      </c>
      <c r="S233">
        <f t="shared" si="23"/>
        <v>0.949664761861875</v>
      </c>
      <c r="T233">
        <f t="shared" si="24"/>
        <v>-0.0516462389158014</v>
      </c>
    </row>
    <row r="234" spans="1:20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</v>
      </c>
      <c r="P234">
        <f t="shared" si="20"/>
        <v>0.867641615678933</v>
      </c>
      <c r="Q234">
        <f t="shared" si="21"/>
        <v>1</v>
      </c>
      <c r="R234">
        <f t="shared" si="22"/>
        <v>0</v>
      </c>
      <c r="S234">
        <f t="shared" si="23"/>
        <v>0.867641615678933</v>
      </c>
      <c r="T234">
        <f t="shared" si="24"/>
        <v>-0.141976534744854</v>
      </c>
    </row>
    <row r="235" spans="1:20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2.04444724043875</v>
      </c>
      <c r="P235">
        <f t="shared" si="20"/>
        <v>0.885385339703304</v>
      </c>
      <c r="Q235">
        <f t="shared" si="21"/>
        <v>1</v>
      </c>
      <c r="R235">
        <f t="shared" si="22"/>
        <v>0</v>
      </c>
      <c r="S235">
        <f t="shared" si="23"/>
        <v>0.885385339703304</v>
      </c>
      <c r="T235">
        <f t="shared" si="24"/>
        <v>-0.121732316644418</v>
      </c>
    </row>
    <row r="236" spans="1:20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-1.20447982865936</v>
      </c>
      <c r="P236">
        <f t="shared" si="20"/>
        <v>0.230679238736118</v>
      </c>
      <c r="Q236">
        <f t="shared" si="21"/>
        <v>0</v>
      </c>
      <c r="R236">
        <f t="shared" si="22"/>
        <v>0</v>
      </c>
      <c r="S236">
        <f t="shared" si="23"/>
        <v>0.769320761263882</v>
      </c>
      <c r="T236">
        <f t="shared" si="24"/>
        <v>-0.262247281667199</v>
      </c>
    </row>
    <row r="237" spans="1:20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</v>
      </c>
      <c r="P237">
        <f t="shared" si="20"/>
        <v>0.113341769322026</v>
      </c>
      <c r="Q237">
        <f t="shared" si="21"/>
        <v>0</v>
      </c>
      <c r="R237">
        <f t="shared" si="22"/>
        <v>0</v>
      </c>
      <c r="S237">
        <f t="shared" si="23"/>
        <v>0.886658230677974</v>
      </c>
      <c r="T237">
        <f t="shared" si="24"/>
        <v>-0.120295680192724</v>
      </c>
    </row>
    <row r="238" spans="1:20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4.35892132544773</v>
      </c>
      <c r="P238">
        <f t="shared" si="20"/>
        <v>0.98736939416049</v>
      </c>
      <c r="Q238">
        <f t="shared" si="21"/>
        <v>1</v>
      </c>
      <c r="R238">
        <f t="shared" si="22"/>
        <v>0</v>
      </c>
      <c r="S238">
        <f t="shared" si="23"/>
        <v>0.98736939416049</v>
      </c>
      <c r="T238">
        <f t="shared" si="24"/>
        <v>-0.0127110500318483</v>
      </c>
    </row>
    <row r="239" spans="1:20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2.76918864997328</v>
      </c>
      <c r="P239">
        <f t="shared" si="20"/>
        <v>0.940987948685957</v>
      </c>
      <c r="Q239">
        <f t="shared" si="21"/>
        <v>1</v>
      </c>
      <c r="R239">
        <f t="shared" si="22"/>
        <v>0</v>
      </c>
      <c r="S239">
        <f t="shared" si="23"/>
        <v>0.940987948685957</v>
      </c>
      <c r="T239">
        <f t="shared" si="24"/>
        <v>-0.0608249464012354</v>
      </c>
    </row>
    <row r="240" spans="1:20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0.411111979379312</v>
      </c>
      <c r="P240">
        <f t="shared" si="20"/>
        <v>0.60135448064808</v>
      </c>
      <c r="Q240">
        <f t="shared" si="21"/>
        <v>1</v>
      </c>
      <c r="R240">
        <f t="shared" si="22"/>
        <v>0</v>
      </c>
      <c r="S240">
        <f t="shared" si="23"/>
        <v>0.60135448064808</v>
      </c>
      <c r="T240">
        <f t="shared" si="24"/>
        <v>-0.508570700271179</v>
      </c>
    </row>
    <row r="241" spans="1:20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-3.51466311164003</v>
      </c>
      <c r="P241">
        <f t="shared" si="20"/>
        <v>0.0288978879985409</v>
      </c>
      <c r="Q241">
        <f t="shared" si="21"/>
        <v>0</v>
      </c>
      <c r="R241">
        <f t="shared" si="22"/>
        <v>0</v>
      </c>
      <c r="S241">
        <f t="shared" si="23"/>
        <v>0.971102112001459</v>
      </c>
      <c r="T241">
        <f t="shared" si="24"/>
        <v>-0.0293236545294319</v>
      </c>
    </row>
    <row r="242" spans="1:20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-2.89019623979427</v>
      </c>
      <c r="P242">
        <f t="shared" si="20"/>
        <v>0.0526403312296946</v>
      </c>
      <c r="Q242">
        <f t="shared" si="21"/>
        <v>0</v>
      </c>
      <c r="R242">
        <f t="shared" si="22"/>
        <v>0</v>
      </c>
      <c r="S242">
        <f t="shared" si="23"/>
        <v>0.947359668770305</v>
      </c>
      <c r="T242">
        <f t="shared" si="24"/>
        <v>-0.0540764598331843</v>
      </c>
    </row>
    <row r="243" spans="1:20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</v>
      </c>
      <c r="P243">
        <f t="shared" si="20"/>
        <v>0.038043592100867</v>
      </c>
      <c r="Q243">
        <f t="shared" si="21"/>
        <v>0</v>
      </c>
      <c r="R243">
        <f t="shared" si="22"/>
        <v>0</v>
      </c>
      <c r="S243">
        <f t="shared" si="23"/>
        <v>0.961956407899133</v>
      </c>
      <c r="T243">
        <f t="shared" si="24"/>
        <v>-0.0387861433773078</v>
      </c>
    </row>
    <row r="244" spans="1:20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-4.00959882607466</v>
      </c>
      <c r="P244">
        <f t="shared" si="20"/>
        <v>0.0178174508220355</v>
      </c>
      <c r="Q244">
        <f t="shared" si="21"/>
        <v>0</v>
      </c>
      <c r="R244">
        <f t="shared" si="22"/>
        <v>0</v>
      </c>
      <c r="S244">
        <f t="shared" si="23"/>
        <v>0.982182549177964</v>
      </c>
      <c r="T244">
        <f t="shared" si="24"/>
        <v>-0.0179780926108173</v>
      </c>
    </row>
    <row r="245" spans="1:20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</v>
      </c>
      <c r="P245">
        <f t="shared" si="20"/>
        <v>0.0448004221097248</v>
      </c>
      <c r="Q245">
        <f t="shared" si="21"/>
        <v>0</v>
      </c>
      <c r="R245">
        <f t="shared" si="22"/>
        <v>0</v>
      </c>
      <c r="S245">
        <f t="shared" si="23"/>
        <v>0.955199577890275</v>
      </c>
      <c r="T245">
        <f t="shared" si="24"/>
        <v>-0.0458349782510629</v>
      </c>
    </row>
    <row r="246" spans="1:20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</v>
      </c>
      <c r="P246">
        <f t="shared" si="20"/>
        <v>0.597898106588874</v>
      </c>
      <c r="Q246">
        <f t="shared" si="21"/>
        <v>1</v>
      </c>
      <c r="R246">
        <f t="shared" si="22"/>
        <v>0</v>
      </c>
      <c r="S246">
        <f t="shared" si="23"/>
        <v>0.597898106588874</v>
      </c>
      <c r="T246">
        <f t="shared" si="24"/>
        <v>-0.514334929869194</v>
      </c>
    </row>
    <row r="247" spans="1:20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-4.12387210293957</v>
      </c>
      <c r="P247">
        <f t="shared" si="20"/>
        <v>0.015924056754692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-0.0160522068131344</v>
      </c>
    </row>
    <row r="248" spans="1:20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</v>
      </c>
      <c r="P248">
        <f t="shared" si="20"/>
        <v>0.578283766024697</v>
      </c>
      <c r="Q248">
        <f t="shared" si="21"/>
        <v>1</v>
      </c>
      <c r="R248">
        <f t="shared" si="22"/>
        <v>0</v>
      </c>
      <c r="S248">
        <f t="shared" si="23"/>
        <v>0.578283766024697</v>
      </c>
      <c r="T248">
        <f t="shared" si="24"/>
        <v>-0.547690586104264</v>
      </c>
    </row>
    <row r="249" spans="1:20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0.0416446586523636</v>
      </c>
      <c r="P249">
        <f t="shared" si="20"/>
        <v>0.51040966026986</v>
      </c>
      <c r="Q249">
        <f t="shared" si="21"/>
        <v>1</v>
      </c>
      <c r="R249">
        <f t="shared" si="22"/>
        <v>0</v>
      </c>
      <c r="S249">
        <f t="shared" si="23"/>
        <v>0.51040966026986</v>
      </c>
      <c r="T249">
        <f t="shared" si="24"/>
        <v>-0.672541620269656</v>
      </c>
    </row>
    <row r="250" spans="1:20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2.26125898013556</v>
      </c>
      <c r="P250">
        <f t="shared" si="20"/>
        <v>0.905617296850871</v>
      </c>
      <c r="Q250">
        <f t="shared" si="21"/>
        <v>1</v>
      </c>
      <c r="R250">
        <f t="shared" si="22"/>
        <v>0</v>
      </c>
      <c r="S250">
        <f t="shared" si="23"/>
        <v>0.905617296850871</v>
      </c>
      <c r="T250">
        <f t="shared" si="24"/>
        <v>-0.0991384718361231</v>
      </c>
    </row>
    <row r="251" spans="1:20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</v>
      </c>
      <c r="P251">
        <f t="shared" si="20"/>
        <v>0.865322918320576</v>
      </c>
      <c r="Q251">
        <f t="shared" si="21"/>
        <v>1</v>
      </c>
      <c r="R251">
        <f t="shared" si="22"/>
        <v>0</v>
      </c>
      <c r="S251">
        <f t="shared" si="23"/>
        <v>0.865322918320576</v>
      </c>
      <c r="T251">
        <f t="shared" si="24"/>
        <v>-0.144652525737785</v>
      </c>
    </row>
    <row r="252" spans="1:20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</v>
      </c>
      <c r="P252">
        <f t="shared" si="20"/>
        <v>0.0295213246079088</v>
      </c>
      <c r="Q252">
        <f t="shared" si="21"/>
        <v>0</v>
      </c>
      <c r="R252">
        <f t="shared" si="22"/>
        <v>0</v>
      </c>
      <c r="S252">
        <f t="shared" si="23"/>
        <v>0.970478675392091</v>
      </c>
      <c r="T252">
        <f t="shared" si="24"/>
        <v>-0.029965849420154</v>
      </c>
    </row>
    <row r="253" spans="1:20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0.982155238390994</v>
      </c>
      <c r="P253">
        <f t="shared" si="20"/>
        <v>0.727535653363197</v>
      </c>
      <c r="Q253">
        <f t="shared" si="21"/>
        <v>1</v>
      </c>
      <c r="R253">
        <f t="shared" si="22"/>
        <v>1</v>
      </c>
      <c r="S253">
        <f t="shared" si="23"/>
        <v>0.272464346636803</v>
      </c>
      <c r="T253">
        <f t="shared" si="24"/>
        <v>-1.30024751146896</v>
      </c>
    </row>
    <row r="254" spans="1:20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</v>
      </c>
      <c r="P254">
        <f t="shared" si="20"/>
        <v>0.959367271913459</v>
      </c>
      <c r="Q254">
        <f t="shared" si="21"/>
        <v>1</v>
      </c>
      <c r="R254">
        <f t="shared" si="22"/>
        <v>0</v>
      </c>
      <c r="S254">
        <f t="shared" si="23"/>
        <v>0.959367271913459</v>
      </c>
      <c r="T254">
        <f t="shared" si="24"/>
        <v>-0.0414813035735248</v>
      </c>
    </row>
    <row r="255" spans="1:20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0.033909688440799</v>
      </c>
      <c r="T255">
        <f t="shared" si="24"/>
        <v>-3.38405451071343</v>
      </c>
    </row>
    <row r="256" spans="1:20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-3.01178312802589</v>
      </c>
      <c r="P256">
        <f t="shared" si="20"/>
        <v>0.0468963805842215</v>
      </c>
      <c r="Q256">
        <f t="shared" si="21"/>
        <v>0</v>
      </c>
      <c r="R256">
        <f t="shared" si="22"/>
        <v>0</v>
      </c>
      <c r="S256">
        <f t="shared" si="23"/>
        <v>0.953103619415778</v>
      </c>
      <c r="T256">
        <f t="shared" si="24"/>
        <v>-0.0480316515263272</v>
      </c>
    </row>
    <row r="257" spans="1:20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</v>
      </c>
      <c r="P257">
        <f t="shared" si="20"/>
        <v>0.204484660491085</v>
      </c>
      <c r="Q257">
        <f t="shared" si="21"/>
        <v>0</v>
      </c>
      <c r="R257">
        <f t="shared" si="22"/>
        <v>0</v>
      </c>
      <c r="S257">
        <f t="shared" si="23"/>
        <v>0.795515339508915</v>
      </c>
      <c r="T257">
        <f t="shared" si="24"/>
        <v>-0.22876514853802</v>
      </c>
    </row>
    <row r="258" spans="1:20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-3.71327389095721</v>
      </c>
      <c r="P258">
        <f t="shared" si="20"/>
        <v>0.0238164551823271</v>
      </c>
      <c r="Q258">
        <f t="shared" si="21"/>
        <v>0</v>
      </c>
      <c r="R258">
        <f t="shared" si="22"/>
        <v>0</v>
      </c>
      <c r="S258">
        <f t="shared" si="23"/>
        <v>0.976183544817673</v>
      </c>
      <c r="T258">
        <f t="shared" si="24"/>
        <v>-0.0241046520349452</v>
      </c>
    </row>
    <row r="259" spans="1:20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-1.07784873406217</v>
      </c>
      <c r="P259">
        <f t="shared" si="20"/>
        <v>0.253913339604825</v>
      </c>
      <c r="Q259">
        <f t="shared" si="21"/>
        <v>0</v>
      </c>
      <c r="R259">
        <f t="shared" si="22"/>
        <v>0</v>
      </c>
      <c r="S259">
        <f t="shared" si="23"/>
        <v>0.746086660395175</v>
      </c>
      <c r="T259">
        <f t="shared" si="24"/>
        <v>-0.292913518775646</v>
      </c>
    </row>
    <row r="260" spans="1:20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-2.07865400923667</v>
      </c>
      <c r="P260">
        <f t="shared" si="20"/>
        <v>0.111188915917835</v>
      </c>
      <c r="Q260">
        <f t="shared" si="21"/>
        <v>0</v>
      </c>
      <c r="R260">
        <f t="shared" si="22"/>
        <v>0</v>
      </c>
      <c r="S260">
        <f t="shared" si="23"/>
        <v>0.888811084082165</v>
      </c>
      <c r="T260">
        <f t="shared" si="24"/>
        <v>-0.117870569894957</v>
      </c>
    </row>
    <row r="261" spans="1:20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-1.78792946501392</v>
      </c>
      <c r="P261">
        <f t="shared" si="20"/>
        <v>0.143326764767317</v>
      </c>
      <c r="Q261">
        <f t="shared" si="21"/>
        <v>0</v>
      </c>
      <c r="R261">
        <f t="shared" si="22"/>
        <v>0</v>
      </c>
      <c r="S261">
        <f t="shared" si="23"/>
        <v>0.856673235232683</v>
      </c>
      <c r="T261">
        <f t="shared" si="24"/>
        <v>-0.154698722203587</v>
      </c>
    </row>
    <row r="262" spans="1:20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-1.29236365956013</v>
      </c>
      <c r="P262">
        <f t="shared" si="20"/>
        <v>0.215453005625465</v>
      </c>
      <c r="Q262">
        <f t="shared" si="21"/>
        <v>0</v>
      </c>
      <c r="R262">
        <f t="shared" si="22"/>
        <v>1</v>
      </c>
      <c r="S262">
        <f t="shared" si="23"/>
        <v>0.215453005625465</v>
      </c>
      <c r="T262">
        <f t="shared" si="24"/>
        <v>-1.5350124645629</v>
      </c>
    </row>
    <row r="263" spans="1:20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7" si="25">SUMPRODUCT(A$4:M$4,A263:M263)+N$4</f>
        <v>-1.78696143262809</v>
      </c>
      <c r="P263">
        <f t="shared" ref="P263:P307" si="26">1/(1+EXP(0-O263))</f>
        <v>0.143445664896059</v>
      </c>
      <c r="Q263">
        <f t="shared" ref="Q263:Q302" si="27">IF(P263&lt;=0.5,0,1)</f>
        <v>0</v>
      </c>
      <c r="R263">
        <f t="shared" ref="R263:R302" si="28">IF(N263=Q263,0,1)</f>
        <v>0</v>
      </c>
      <c r="S263">
        <f t="shared" ref="S263:S302" si="29">IF(N263=1,P263,1-P263)</f>
        <v>0.856554335103941</v>
      </c>
      <c r="T263">
        <f t="shared" ref="T263:T302" si="30">IF(S263=0,-100000,LN(S263))</f>
        <v>-0.154837524696603</v>
      </c>
    </row>
    <row r="264" spans="1:20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-1.71382030238739</v>
      </c>
      <c r="P264">
        <f t="shared" si="26"/>
        <v>0.152668861296517</v>
      </c>
      <c r="Q264">
        <f t="shared" si="27"/>
        <v>0</v>
      </c>
      <c r="R264">
        <f t="shared" si="28"/>
        <v>1</v>
      </c>
      <c r="S264">
        <f t="shared" si="29"/>
        <v>0.152668861296517</v>
      </c>
      <c r="T264">
        <f t="shared" si="30"/>
        <v>-1.87948400833469</v>
      </c>
    </row>
    <row r="265" spans="1:20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-4.5498533262441</v>
      </c>
      <c r="P265">
        <f t="shared" si="26"/>
        <v>0.01045822402757</v>
      </c>
      <c r="Q265">
        <f t="shared" si="27"/>
        <v>0</v>
      </c>
      <c r="R265">
        <f t="shared" si="28"/>
        <v>0</v>
      </c>
      <c r="S265">
        <f t="shared" si="29"/>
        <v>0.98954177597243</v>
      </c>
      <c r="T265">
        <f t="shared" si="30"/>
        <v>-0.0105132955559096</v>
      </c>
    </row>
    <row r="266" spans="1:20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</v>
      </c>
      <c r="P266">
        <f t="shared" si="26"/>
        <v>0.0556225886463092</v>
      </c>
      <c r="Q266">
        <f t="shared" si="27"/>
        <v>0</v>
      </c>
      <c r="R266">
        <f t="shared" si="28"/>
        <v>0</v>
      </c>
      <c r="S266">
        <f t="shared" si="29"/>
        <v>0.944377411353691</v>
      </c>
      <c r="T266">
        <f t="shared" si="30"/>
        <v>-0.0572293925726184</v>
      </c>
    </row>
    <row r="267" spans="1:20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2.69031331266811</v>
      </c>
      <c r="P267">
        <f t="shared" si="26"/>
        <v>0.936452629170444</v>
      </c>
      <c r="Q267">
        <f t="shared" si="27"/>
        <v>1</v>
      </c>
      <c r="R267">
        <f t="shared" si="28"/>
        <v>0</v>
      </c>
      <c r="S267">
        <f t="shared" si="29"/>
        <v>0.936452629170444</v>
      </c>
      <c r="T267">
        <f t="shared" si="30"/>
        <v>-0.0656563412172375</v>
      </c>
    </row>
    <row r="268" spans="1:20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</v>
      </c>
      <c r="P268">
        <f t="shared" si="26"/>
        <v>0.923018461483018</v>
      </c>
      <c r="Q268">
        <f t="shared" si="27"/>
        <v>1</v>
      </c>
      <c r="R268">
        <f t="shared" si="28"/>
        <v>0</v>
      </c>
      <c r="S268">
        <f t="shared" si="29"/>
        <v>0.923018461483018</v>
      </c>
      <c r="T268">
        <f t="shared" si="30"/>
        <v>-0.0801060430725774</v>
      </c>
    </row>
    <row r="269" spans="1:20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</v>
      </c>
      <c r="P269">
        <f t="shared" si="26"/>
        <v>0.543658834310889</v>
      </c>
      <c r="Q269">
        <f t="shared" si="27"/>
        <v>1</v>
      </c>
      <c r="R269">
        <f t="shared" si="28"/>
        <v>0</v>
      </c>
      <c r="S269">
        <f t="shared" si="29"/>
        <v>0.543658834310889</v>
      </c>
      <c r="T269">
        <f t="shared" si="30"/>
        <v>-0.609433371673372</v>
      </c>
    </row>
    <row r="270" spans="1:20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-0.317158986736573</v>
      </c>
      <c r="P270">
        <f t="shared" si="26"/>
        <v>0.421368280158434</v>
      </c>
      <c r="Q270">
        <f t="shared" si="27"/>
        <v>0</v>
      </c>
      <c r="R270">
        <f t="shared" si="28"/>
        <v>1</v>
      </c>
      <c r="S270">
        <f t="shared" si="29"/>
        <v>0.421368280158434</v>
      </c>
      <c r="T270">
        <f t="shared" si="30"/>
        <v>-0.864248052969054</v>
      </c>
    </row>
    <row r="271" spans="1:20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</v>
      </c>
      <c r="P271">
        <f t="shared" si="26"/>
        <v>0.0831461718141743</v>
      </c>
      <c r="Q271">
        <f t="shared" si="27"/>
        <v>0</v>
      </c>
      <c r="R271">
        <f t="shared" si="28"/>
        <v>0</v>
      </c>
      <c r="S271">
        <f t="shared" si="29"/>
        <v>0.916853828185826</v>
      </c>
      <c r="T271">
        <f t="shared" si="30"/>
        <v>-0.0868072216280349</v>
      </c>
    </row>
    <row r="272" spans="1:20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3.05973885287618</v>
      </c>
      <c r="P272">
        <f t="shared" si="26"/>
        <v>0.955201123287176</v>
      </c>
      <c r="Q272">
        <f t="shared" si="27"/>
        <v>1</v>
      </c>
      <c r="R272">
        <f t="shared" si="28"/>
        <v>0</v>
      </c>
      <c r="S272">
        <f t="shared" si="29"/>
        <v>0.955201123287176</v>
      </c>
      <c r="T272">
        <f t="shared" si="30"/>
        <v>-0.0458333603738291</v>
      </c>
    </row>
    <row r="273" spans="1:20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2.3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1.13591397051047</v>
      </c>
      <c r="P273">
        <f t="shared" si="26"/>
        <v>0.756928649409277</v>
      </c>
      <c r="Q273">
        <f t="shared" si="27"/>
        <v>1</v>
      </c>
      <c r="R273">
        <f t="shared" si="28"/>
        <v>1</v>
      </c>
      <c r="S273">
        <f t="shared" si="29"/>
        <v>0.243071350590723</v>
      </c>
      <c r="T273">
        <f t="shared" si="30"/>
        <v>-1.41440025491049</v>
      </c>
    </row>
    <row r="274" spans="1:20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5.48633877713818</v>
      </c>
      <c r="P274">
        <f t="shared" si="26"/>
        <v>0.995874108673718</v>
      </c>
      <c r="Q274">
        <f t="shared" si="27"/>
        <v>1</v>
      </c>
      <c r="R274">
        <f t="shared" si="28"/>
        <v>0</v>
      </c>
      <c r="S274">
        <f t="shared" si="29"/>
        <v>0.995874108673718</v>
      </c>
      <c r="T274">
        <f t="shared" si="30"/>
        <v>-0.00413442630024017</v>
      </c>
    </row>
    <row r="275" spans="1:20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</v>
      </c>
      <c r="P275">
        <f t="shared" si="26"/>
        <v>0.0658409187416156</v>
      </c>
      <c r="Q275">
        <f t="shared" si="27"/>
        <v>0</v>
      </c>
      <c r="R275">
        <f t="shared" si="28"/>
        <v>0</v>
      </c>
      <c r="S275">
        <f t="shared" si="29"/>
        <v>0.934159081258384</v>
      </c>
      <c r="T275">
        <f t="shared" si="30"/>
        <v>-0.0681085327100825</v>
      </c>
    </row>
    <row r="276" spans="1:20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</v>
      </c>
      <c r="P276">
        <f t="shared" si="26"/>
        <v>0.251345732692217</v>
      </c>
      <c r="Q276">
        <f t="shared" si="27"/>
        <v>0</v>
      </c>
      <c r="R276">
        <f t="shared" si="28"/>
        <v>1</v>
      </c>
      <c r="S276">
        <f t="shared" si="29"/>
        <v>0.251345732692217</v>
      </c>
      <c r="T276">
        <f t="shared" si="30"/>
        <v>-1.38092586654002</v>
      </c>
    </row>
    <row r="277" spans="1:20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</v>
      </c>
      <c r="P277">
        <f t="shared" si="26"/>
        <v>0.453650972071929</v>
      </c>
      <c r="Q277">
        <f t="shared" si="27"/>
        <v>0</v>
      </c>
      <c r="R277">
        <f t="shared" si="28"/>
        <v>0</v>
      </c>
      <c r="S277">
        <f t="shared" si="29"/>
        <v>0.546349027928071</v>
      </c>
      <c r="T277">
        <f t="shared" si="30"/>
        <v>-0.604497262177964</v>
      </c>
    </row>
    <row r="278" spans="1:20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</v>
      </c>
      <c r="P278">
        <f t="shared" si="26"/>
        <v>0.290841535747547</v>
      </c>
      <c r="Q278">
        <f t="shared" si="27"/>
        <v>0</v>
      </c>
      <c r="R278">
        <f t="shared" si="28"/>
        <v>0</v>
      </c>
      <c r="S278">
        <f t="shared" si="29"/>
        <v>0.709158464252453</v>
      </c>
      <c r="T278">
        <f t="shared" si="30"/>
        <v>-0.343676273541119</v>
      </c>
    </row>
    <row r="279" spans="1:20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</v>
      </c>
      <c r="P279">
        <f t="shared" si="26"/>
        <v>0.0601376422632191</v>
      </c>
      <c r="Q279">
        <f t="shared" si="27"/>
        <v>0</v>
      </c>
      <c r="R279">
        <f t="shared" si="28"/>
        <v>0</v>
      </c>
      <c r="S279">
        <f t="shared" si="29"/>
        <v>0.939862357736781</v>
      </c>
      <c r="T279">
        <f t="shared" si="30"/>
        <v>-0.0620218423792997</v>
      </c>
    </row>
    <row r="280" spans="1:20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</v>
      </c>
      <c r="P280">
        <f t="shared" si="26"/>
        <v>0.292536206139143</v>
      </c>
      <c r="Q280">
        <f t="shared" si="27"/>
        <v>0</v>
      </c>
      <c r="R280">
        <f t="shared" si="28"/>
        <v>1</v>
      </c>
      <c r="S280">
        <f t="shared" si="29"/>
        <v>0.292536206139143</v>
      </c>
      <c r="T280">
        <f t="shared" si="30"/>
        <v>-1.22916683829826</v>
      </c>
    </row>
    <row r="281" spans="1:20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</v>
      </c>
      <c r="P281">
        <f t="shared" si="26"/>
        <v>0.102743614614245</v>
      </c>
      <c r="Q281">
        <f t="shared" si="27"/>
        <v>0</v>
      </c>
      <c r="R281">
        <f t="shared" si="28"/>
        <v>0</v>
      </c>
      <c r="S281">
        <f t="shared" si="29"/>
        <v>0.897256385385755</v>
      </c>
      <c r="T281">
        <f t="shared" si="30"/>
        <v>-0.10841363236146</v>
      </c>
    </row>
    <row r="282" spans="1:20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3.28300033924453</v>
      </c>
      <c r="P282">
        <f t="shared" si="26"/>
        <v>0.963840995687868</v>
      </c>
      <c r="Q282">
        <f t="shared" si="27"/>
        <v>1</v>
      </c>
      <c r="R282">
        <f t="shared" si="28"/>
        <v>0</v>
      </c>
      <c r="S282">
        <f t="shared" si="29"/>
        <v>0.963840995687868</v>
      </c>
      <c r="T282">
        <f t="shared" si="30"/>
        <v>-0.0368289402085597</v>
      </c>
    </row>
    <row r="283" spans="1:20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</v>
      </c>
      <c r="P283">
        <f t="shared" si="26"/>
        <v>0.0626359946294319</v>
      </c>
      <c r="Q283">
        <f t="shared" si="27"/>
        <v>0</v>
      </c>
      <c r="R283">
        <f t="shared" si="28"/>
        <v>0</v>
      </c>
      <c r="S283">
        <f t="shared" si="29"/>
        <v>0.937364005370568</v>
      </c>
      <c r="T283">
        <f t="shared" si="30"/>
        <v>-0.0646835925979874</v>
      </c>
    </row>
    <row r="284" spans="1:20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0.885845699008406</v>
      </c>
      <c r="Q284">
        <f t="shared" si="27"/>
        <v>1</v>
      </c>
      <c r="R284">
        <f t="shared" si="28"/>
        <v>0</v>
      </c>
      <c r="S284">
        <f t="shared" si="29"/>
        <v>0.885845699008406</v>
      </c>
      <c r="T284">
        <f t="shared" si="30"/>
        <v>-0.121212498161785</v>
      </c>
    </row>
    <row r="285" spans="1:20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</v>
      </c>
      <c r="P285">
        <f t="shared" si="26"/>
        <v>0.0291564942006253</v>
      </c>
      <c r="Q285">
        <f t="shared" si="27"/>
        <v>0</v>
      </c>
      <c r="R285">
        <f t="shared" si="28"/>
        <v>0</v>
      </c>
      <c r="S285">
        <f t="shared" si="29"/>
        <v>0.970843505799375</v>
      </c>
      <c r="T285">
        <f t="shared" si="30"/>
        <v>-0.0295899917545762</v>
      </c>
    </row>
    <row r="286" spans="1:20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</v>
      </c>
      <c r="P286">
        <f t="shared" si="26"/>
        <v>0.704826564523398</v>
      </c>
      <c r="Q286">
        <f t="shared" si="27"/>
        <v>1</v>
      </c>
      <c r="R286">
        <f t="shared" si="28"/>
        <v>0</v>
      </c>
      <c r="S286">
        <f t="shared" si="29"/>
        <v>0.704826564523398</v>
      </c>
      <c r="T286">
        <f t="shared" si="30"/>
        <v>-0.349803514202973</v>
      </c>
    </row>
    <row r="287" spans="1:20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5.76900641460393</v>
      </c>
      <c r="P287">
        <f t="shared" si="26"/>
        <v>0.996886863086894</v>
      </c>
      <c r="Q287">
        <f t="shared" si="27"/>
        <v>1</v>
      </c>
      <c r="R287">
        <f t="shared" si="28"/>
        <v>0</v>
      </c>
      <c r="S287">
        <f t="shared" si="29"/>
        <v>0.996886863086894</v>
      </c>
      <c r="T287">
        <f t="shared" si="30"/>
        <v>-0.00311799280448165</v>
      </c>
    </row>
    <row r="288" spans="1:20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3.13058207224556</v>
      </c>
      <c r="P288">
        <f t="shared" si="26"/>
        <v>0.958136746506947</v>
      </c>
      <c r="Q288">
        <f t="shared" si="27"/>
        <v>1</v>
      </c>
      <c r="R288">
        <f t="shared" si="28"/>
        <v>0</v>
      </c>
      <c r="S288">
        <f t="shared" si="29"/>
        <v>0.958136746506947</v>
      </c>
      <c r="T288">
        <f t="shared" si="30"/>
        <v>-0.0427647695413767</v>
      </c>
    </row>
    <row r="289" spans="1:20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</v>
      </c>
      <c r="P289">
        <f t="shared" si="26"/>
        <v>0.202253072659045</v>
      </c>
      <c r="Q289">
        <f t="shared" si="27"/>
        <v>0</v>
      </c>
      <c r="R289">
        <f t="shared" si="28"/>
        <v>0</v>
      </c>
      <c r="S289">
        <f t="shared" si="29"/>
        <v>0.797746927340955</v>
      </c>
      <c r="T289">
        <f t="shared" si="30"/>
        <v>-0.225963865487792</v>
      </c>
    </row>
    <row r="290" spans="1:20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</v>
      </c>
      <c r="P290">
        <f t="shared" si="26"/>
        <v>0.0856643067173356</v>
      </c>
      <c r="Q290">
        <f t="shared" si="27"/>
        <v>0</v>
      </c>
      <c r="R290">
        <f t="shared" si="28"/>
        <v>0</v>
      </c>
      <c r="S290">
        <f t="shared" si="29"/>
        <v>0.914335693282664</v>
      </c>
      <c r="T290">
        <f t="shared" si="30"/>
        <v>-0.0895574956558238</v>
      </c>
    </row>
    <row r="291" spans="1:20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0.568482357171144</v>
      </c>
      <c r="P291">
        <f t="shared" si="26"/>
        <v>0.638412913290878</v>
      </c>
      <c r="Q291">
        <f t="shared" si="27"/>
        <v>1</v>
      </c>
      <c r="R291">
        <f t="shared" si="28"/>
        <v>0</v>
      </c>
      <c r="S291">
        <f t="shared" si="29"/>
        <v>0.638412913290878</v>
      </c>
      <c r="T291">
        <f t="shared" si="30"/>
        <v>-0.448770005465151</v>
      </c>
    </row>
    <row r="292" spans="1:20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</v>
      </c>
      <c r="P292">
        <f t="shared" si="26"/>
        <v>0.0253607385066808</v>
      </c>
      <c r="Q292">
        <f t="shared" si="27"/>
        <v>0</v>
      </c>
      <c r="R292">
        <f t="shared" si="28"/>
        <v>0</v>
      </c>
      <c r="S292">
        <f t="shared" si="29"/>
        <v>0.974639261493319</v>
      </c>
      <c r="T292">
        <f t="shared" si="30"/>
        <v>-0.025687864658796</v>
      </c>
    </row>
    <row r="293" spans="1:20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</v>
      </c>
      <c r="P293">
        <f t="shared" si="26"/>
        <v>0.854024053669322</v>
      </c>
      <c r="Q293">
        <f t="shared" si="27"/>
        <v>1</v>
      </c>
      <c r="R293">
        <f t="shared" si="28"/>
        <v>0</v>
      </c>
      <c r="S293">
        <f t="shared" si="29"/>
        <v>0.854024053669322</v>
      </c>
      <c r="T293">
        <f t="shared" si="30"/>
        <v>-0.157795919701082</v>
      </c>
    </row>
    <row r="294" spans="1:20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</v>
      </c>
      <c r="P294">
        <f t="shared" si="26"/>
        <v>0.989996402936751</v>
      </c>
      <c r="Q294">
        <f t="shared" si="27"/>
        <v>1</v>
      </c>
      <c r="R294">
        <f t="shared" si="28"/>
        <v>0</v>
      </c>
      <c r="S294">
        <f t="shared" si="29"/>
        <v>0.989996402936751</v>
      </c>
      <c r="T294">
        <f t="shared" si="30"/>
        <v>-0.0100539692573235</v>
      </c>
    </row>
    <row r="295" spans="1:20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-1.70780644621711</v>
      </c>
      <c r="P295">
        <f t="shared" si="26"/>
        <v>0.153448446273343</v>
      </c>
      <c r="Q295">
        <f t="shared" si="27"/>
        <v>0</v>
      </c>
      <c r="R295">
        <f t="shared" si="28"/>
        <v>1</v>
      </c>
      <c r="S295">
        <f t="shared" si="29"/>
        <v>0.153448446273343</v>
      </c>
      <c r="T295">
        <f t="shared" si="30"/>
        <v>-1.87439062326356</v>
      </c>
    </row>
    <row r="296" spans="1:20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-3.97869125316565</v>
      </c>
      <c r="P296">
        <f t="shared" si="26"/>
        <v>0.0183664714159176</v>
      </c>
      <c r="Q296">
        <f t="shared" si="27"/>
        <v>0</v>
      </c>
      <c r="R296">
        <f t="shared" si="28"/>
        <v>0</v>
      </c>
      <c r="S296">
        <f t="shared" si="29"/>
        <v>0.981633528584082</v>
      </c>
      <c r="T296">
        <f t="shared" si="30"/>
        <v>-0.0185372290945264</v>
      </c>
    </row>
    <row r="297" spans="1:20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</v>
      </c>
      <c r="P297">
        <f t="shared" si="26"/>
        <v>0.978652855169017</v>
      </c>
      <c r="Q297">
        <f t="shared" si="27"/>
        <v>1</v>
      </c>
      <c r="R297">
        <f t="shared" si="28"/>
        <v>0</v>
      </c>
      <c r="S297">
        <f t="shared" si="29"/>
        <v>0.978652855169017</v>
      </c>
      <c r="T297">
        <f t="shared" si="30"/>
        <v>-0.0215782905811416</v>
      </c>
    </row>
    <row r="298" spans="1:20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</v>
      </c>
      <c r="P298">
        <f t="shared" si="26"/>
        <v>0.662738922758294</v>
      </c>
      <c r="Q298">
        <f t="shared" si="27"/>
        <v>1</v>
      </c>
      <c r="R298">
        <f t="shared" si="28"/>
        <v>0</v>
      </c>
      <c r="S298">
        <f t="shared" si="29"/>
        <v>0.662738922758294</v>
      </c>
      <c r="T298">
        <f t="shared" si="30"/>
        <v>-0.411374148010331</v>
      </c>
    </row>
    <row r="299" spans="1:20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</v>
      </c>
      <c r="P299">
        <f t="shared" si="26"/>
        <v>0.260892358738652</v>
      </c>
      <c r="Q299">
        <f t="shared" si="27"/>
        <v>0</v>
      </c>
      <c r="R299">
        <f t="shared" si="28"/>
        <v>1</v>
      </c>
      <c r="S299">
        <f t="shared" si="29"/>
        <v>0.260892358738652</v>
      </c>
      <c r="T299">
        <f t="shared" si="30"/>
        <v>-1.34364737535325</v>
      </c>
    </row>
    <row r="300" spans="1:20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2.69534526717542</v>
      </c>
      <c r="P300">
        <f t="shared" si="26"/>
        <v>0.936751419430395</v>
      </c>
      <c r="Q300">
        <f t="shared" si="27"/>
        <v>1</v>
      </c>
      <c r="R300">
        <f t="shared" si="28"/>
        <v>0</v>
      </c>
      <c r="S300">
        <f t="shared" si="29"/>
        <v>0.936751419430395</v>
      </c>
      <c r="T300">
        <f t="shared" si="30"/>
        <v>-0.0653373260381828</v>
      </c>
    </row>
    <row r="301" spans="1:20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</v>
      </c>
      <c r="P301">
        <f t="shared" si="26"/>
        <v>0.94675363657586</v>
      </c>
      <c r="Q301">
        <f t="shared" si="27"/>
        <v>1</v>
      </c>
      <c r="R301">
        <f t="shared" si="28"/>
        <v>0</v>
      </c>
      <c r="S301">
        <f t="shared" si="29"/>
        <v>0.94675363657586</v>
      </c>
      <c r="T301">
        <f t="shared" si="30"/>
        <v>-0.0547163710923634</v>
      </c>
    </row>
    <row r="302" spans="1:20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-2.38890534991581</v>
      </c>
      <c r="P302">
        <f t="shared" si="26"/>
        <v>0.0840226409203097</v>
      </c>
      <c r="Q302">
        <f t="shared" si="27"/>
        <v>0</v>
      </c>
      <c r="R302">
        <f t="shared" si="28"/>
        <v>1</v>
      </c>
      <c r="S302">
        <f t="shared" si="29"/>
        <v>0.0840226409203097</v>
      </c>
      <c r="T302">
        <f t="shared" si="30"/>
        <v>-2.4766689816912</v>
      </c>
    </row>
    <row r="304" spans="1:17">
      <c r="A304" s="2" t="s">
        <v>36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Q304" s="4" t="s">
        <v>37</v>
      </c>
    </row>
    <row r="305" spans="1:17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N305" s="3"/>
      <c r="O305">
        <f t="shared" si="25"/>
        <v>-3.03296615425949</v>
      </c>
      <c r="P305">
        <f t="shared" si="26"/>
        <v>0.0459585965461174</v>
      </c>
      <c r="Q305">
        <f>IF(P305&lt;0.5,0,1)</f>
        <v>0</v>
      </c>
    </row>
    <row r="306" spans="1:17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N306" s="3"/>
      <c r="O306">
        <f t="shared" si="25"/>
        <v>-1.23747290543014</v>
      </c>
      <c r="P306">
        <f t="shared" si="26"/>
        <v>0.224876169417317</v>
      </c>
      <c r="Q306">
        <f t="shared" ref="Q306:Q307" si="31">IF(P306&lt;0.5,0,1)</f>
        <v>0</v>
      </c>
    </row>
    <row r="307" spans="1:17">
      <c r="A307">
        <v>69</v>
      </c>
      <c r="B307">
        <v>2</v>
      </c>
      <c r="C307">
        <v>4</v>
      </c>
      <c r="D307">
        <v>134</v>
      </c>
      <c r="E307">
        <v>188</v>
      </c>
      <c r="F307">
        <v>1</v>
      </c>
      <c r="G307">
        <v>0</v>
      </c>
      <c r="H307">
        <v>141</v>
      </c>
      <c r="I307">
        <v>0</v>
      </c>
      <c r="J307">
        <v>3.4</v>
      </c>
      <c r="K307">
        <v>1</v>
      </c>
      <c r="L307">
        <v>2</v>
      </c>
      <c r="M307">
        <v>5</v>
      </c>
      <c r="N307" s="3"/>
      <c r="O307">
        <f t="shared" si="25"/>
        <v>2.46996731199952</v>
      </c>
      <c r="P307">
        <f t="shared" si="26"/>
        <v>0.922009414372548</v>
      </c>
      <c r="Q307">
        <f t="shared" si="31"/>
        <v>1</v>
      </c>
    </row>
  </sheetData>
  <mergeCells count="1">
    <mergeCell ref="A304:N30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7"/>
  <sheetViews>
    <sheetView topLeftCell="K13" workbookViewId="0">
      <selection activeCell="Q305" sqref="Q305:Q307"/>
    </sheetView>
  </sheetViews>
  <sheetFormatPr defaultColWidth="9" defaultRowHeight="14.4"/>
  <cols>
    <col min="1" max="1" width="7.57407407407407" customWidth="1"/>
    <col min="2" max="2" width="6.42592592592593" customWidth="1"/>
    <col min="3" max="3" width="6.85185185185185" customWidth="1"/>
    <col min="4" max="4" width="7.57407407407407" customWidth="1"/>
    <col min="5" max="5" width="6.85185185185185" customWidth="1"/>
    <col min="6" max="6" width="5.42592592592593" customWidth="1"/>
    <col min="7" max="7" width="6.71296296296296" customWidth="1"/>
    <col min="8" max="8" width="6.85185185185185" customWidth="1"/>
    <col min="9" max="9" width="5.71296296296296" customWidth="1"/>
    <col min="10" max="10" width="7.42592592592593" customWidth="1"/>
    <col min="11" max="11" width="5.28703703703704" customWidth="1"/>
    <col min="12" max="12" width="5.13888888888889" customWidth="1"/>
    <col min="13" max="13" width="5.85185185185185" customWidth="1"/>
    <col min="14" max="14" width="6.57407407407407" customWidth="1"/>
    <col min="15" max="15" width="10.8518518518519" customWidth="1"/>
    <col min="19" max="19" width="11.8518518518519" customWidth="1"/>
    <col min="20" max="20" width="12.4259259259259" customWidth="1"/>
  </cols>
  <sheetData>
    <row r="1" spans="1:20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38</v>
      </c>
      <c r="T1">
        <f>SUM(T6:T302)</f>
        <v>102.344351934402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8">
      <c r="A3">
        <f>INDEX(LINEST($N6:$N302,$A6:$M302),1,A1)</f>
        <v>-0.00122820468862264</v>
      </c>
      <c r="B3">
        <f t="shared" ref="B3:N3" si="0">INDEX(LINEST($N6:$N302,$A6:$M302),1,B1)</f>
        <v>0.145691831785592</v>
      </c>
      <c r="C3">
        <f t="shared" si="0"/>
        <v>0.0827632326700133</v>
      </c>
      <c r="D3">
        <f t="shared" si="0"/>
        <v>0.00213617413266541</v>
      </c>
      <c r="E3">
        <f t="shared" si="0"/>
        <v>0.00035489886662414</v>
      </c>
      <c r="F3">
        <f t="shared" si="0"/>
        <v>-0.0982382913374933</v>
      </c>
      <c r="G3">
        <f t="shared" si="0"/>
        <v>0.0326577064155736</v>
      </c>
      <c r="H3">
        <f t="shared" si="0"/>
        <v>-0.00262619530834747</v>
      </c>
      <c r="I3">
        <f t="shared" si="0"/>
        <v>0.134753064166301</v>
      </c>
      <c r="J3">
        <f t="shared" si="0"/>
        <v>0.0324280484938872</v>
      </c>
      <c r="K3">
        <f t="shared" si="0"/>
        <v>0.061034589201355</v>
      </c>
      <c r="L3">
        <f t="shared" si="0"/>
        <v>0.143198724250292</v>
      </c>
      <c r="M3">
        <f t="shared" si="0"/>
        <v>0.0606236615301144</v>
      </c>
      <c r="N3">
        <f t="shared" si="0"/>
        <v>-0.386031113499561</v>
      </c>
      <c r="Q3" t="s">
        <v>15</v>
      </c>
      <c r="R3">
        <f>SUM(R6:R302)</f>
        <v>45</v>
      </c>
    </row>
    <row r="4" spans="1:14">
      <c r="A4">
        <v>-0.0141601835869711</v>
      </c>
      <c r="B4">
        <v>1.3121170501406</v>
      </c>
      <c r="C4">
        <v>0.575915992076802</v>
      </c>
      <c r="D4">
        <v>0.024044639685715</v>
      </c>
      <c r="E4">
        <v>0.00499548614563476</v>
      </c>
      <c r="F4">
        <v>-1.02193738071724</v>
      </c>
      <c r="G4">
        <v>0.245152495196913</v>
      </c>
      <c r="H4">
        <v>-0.0206639054430376</v>
      </c>
      <c r="I4">
        <v>0.926118081602059</v>
      </c>
      <c r="J4">
        <v>0.247385507509836</v>
      </c>
      <c r="K4">
        <v>0.570038175298858</v>
      </c>
      <c r="L4">
        <v>1.26772167918269</v>
      </c>
      <c r="M4">
        <v>0.343936409422672</v>
      </c>
      <c r="N4">
        <v>-7.37273746047852</v>
      </c>
    </row>
    <row r="5" spans="1:20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s="1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39</v>
      </c>
    </row>
    <row r="6" spans="1:20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2.3</v>
      </c>
      <c r="K6">
        <v>3</v>
      </c>
      <c r="L6">
        <v>0</v>
      </c>
      <c r="M6">
        <v>6</v>
      </c>
      <c r="N6">
        <v>0</v>
      </c>
      <c r="O6">
        <f>SUMPRODUCT(A$4:M$4,A6:M6)+N$4</f>
        <v>-1.01487351495255</v>
      </c>
      <c r="P6">
        <f>1/(1+EXP(0-O6))</f>
        <v>0.266027179802952</v>
      </c>
      <c r="Q6">
        <f>IF(P6&lt;=0.5,0,1)</f>
        <v>0</v>
      </c>
      <c r="R6">
        <f>IF(N6=Q6,0,1)</f>
        <v>0</v>
      </c>
      <c r="S6">
        <f>IF(N6=1,P6,1-P6)</f>
        <v>0.733972820197048</v>
      </c>
      <c r="T6">
        <f>IF(S6=0,1000000,-LN(S6))</f>
        <v>0.309283280757532</v>
      </c>
    </row>
    <row r="7" spans="1:20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SUMPRODUCT(A$4:M$4,A7:M7)+N$4</f>
        <v>6.10101280683454</v>
      </c>
      <c r="P7">
        <f t="shared" ref="P7:P70" si="2">1/(1+EXP(0-O7))</f>
        <v>0.997764411775206</v>
      </c>
      <c r="Q7">
        <f t="shared" ref="Q7:Q70" si="3">IF(P7&lt;=0.5,0,1)</f>
        <v>1</v>
      </c>
      <c r="R7">
        <f t="shared" ref="R7:R70" si="4">IF(N7=Q7,0,1)</f>
        <v>0</v>
      </c>
      <c r="S7">
        <f t="shared" ref="S7:S70" si="5">IF(N7=1,P7,1-P7)</f>
        <v>0.997764411775206</v>
      </c>
      <c r="T7">
        <f t="shared" ref="T7:T70" si="6">IF(S7=0,1000000,-LN(S7))</f>
        <v>0.00223809088278649</v>
      </c>
    </row>
    <row r="8" spans="1:20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4.80069051156979</v>
      </c>
      <c r="P8">
        <f t="shared" si="2"/>
        <v>0.991843017291388</v>
      </c>
      <c r="Q8">
        <f t="shared" si="3"/>
        <v>1</v>
      </c>
      <c r="R8">
        <f t="shared" si="4"/>
        <v>0</v>
      </c>
      <c r="S8">
        <f t="shared" si="5"/>
        <v>0.991843017291388</v>
      </c>
      <c r="T8">
        <f t="shared" si="6"/>
        <v>0.00819043291810866</v>
      </c>
    </row>
    <row r="9" spans="1:20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</v>
      </c>
      <c r="P9">
        <f t="shared" si="2"/>
        <v>0.323331841603077</v>
      </c>
      <c r="Q9">
        <f t="shared" si="3"/>
        <v>0</v>
      </c>
      <c r="R9">
        <f t="shared" si="4"/>
        <v>0</v>
      </c>
      <c r="S9">
        <f t="shared" si="5"/>
        <v>0.676668158396923</v>
      </c>
      <c r="T9">
        <f t="shared" si="6"/>
        <v>0.390574291089371</v>
      </c>
    </row>
    <row r="10" spans="1:20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-3.77229030226629</v>
      </c>
      <c r="P10">
        <f t="shared" si="2"/>
        <v>0.0224822508573424</v>
      </c>
      <c r="Q10">
        <f t="shared" si="3"/>
        <v>0</v>
      </c>
      <c r="R10">
        <f t="shared" si="4"/>
        <v>0</v>
      </c>
      <c r="S10">
        <f t="shared" si="5"/>
        <v>0.977517749142658</v>
      </c>
      <c r="T10">
        <f t="shared" si="6"/>
        <v>0.0227388295967667</v>
      </c>
    </row>
    <row r="11" spans="1:20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-3.51588657368505</v>
      </c>
      <c r="P11">
        <f t="shared" si="2"/>
        <v>0.0288635740098056</v>
      </c>
      <c r="Q11">
        <f t="shared" si="3"/>
        <v>0</v>
      </c>
      <c r="R11">
        <f t="shared" si="4"/>
        <v>0</v>
      </c>
      <c r="S11">
        <f t="shared" si="5"/>
        <v>0.971136425990194</v>
      </c>
      <c r="T11">
        <f t="shared" si="6"/>
        <v>0.029288320055249</v>
      </c>
    </row>
    <row r="12" spans="1:20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</v>
      </c>
      <c r="P12">
        <f t="shared" si="2"/>
        <v>0.891878086288611</v>
      </c>
      <c r="Q12">
        <f t="shared" si="3"/>
        <v>1</v>
      </c>
      <c r="R12">
        <f t="shared" si="4"/>
        <v>0</v>
      </c>
      <c r="S12">
        <f t="shared" si="5"/>
        <v>0.891878086288611</v>
      </c>
      <c r="T12">
        <f t="shared" si="6"/>
        <v>0.114425830307285</v>
      </c>
    </row>
    <row r="13" spans="1:20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</v>
      </c>
      <c r="P13">
        <f t="shared" si="2"/>
        <v>0.128502470951157</v>
      </c>
      <c r="Q13">
        <f t="shared" si="3"/>
        <v>0</v>
      </c>
      <c r="R13">
        <f t="shared" si="4"/>
        <v>0</v>
      </c>
      <c r="S13">
        <f t="shared" si="5"/>
        <v>0.871497529048843</v>
      </c>
      <c r="T13">
        <f t="shared" si="6"/>
        <v>0.137542249311402</v>
      </c>
    </row>
    <row r="14" spans="1:20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</v>
      </c>
      <c r="P14">
        <f t="shared" si="2"/>
        <v>0.913726761611946</v>
      </c>
      <c r="Q14">
        <f t="shared" si="3"/>
        <v>1</v>
      </c>
      <c r="R14">
        <f t="shared" si="4"/>
        <v>0</v>
      </c>
      <c r="S14">
        <f t="shared" si="5"/>
        <v>0.913726761611946</v>
      </c>
      <c r="T14">
        <f t="shared" si="6"/>
        <v>0.0902237001299757</v>
      </c>
    </row>
    <row r="15" spans="1:20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1.94903188416736</v>
      </c>
      <c r="P15">
        <f t="shared" si="2"/>
        <v>0.87534104026191</v>
      </c>
      <c r="Q15">
        <f t="shared" si="3"/>
        <v>1</v>
      </c>
      <c r="R15">
        <f t="shared" si="4"/>
        <v>0</v>
      </c>
      <c r="S15">
        <f t="shared" si="5"/>
        <v>0.87534104026191</v>
      </c>
      <c r="T15">
        <f t="shared" si="6"/>
        <v>0.133141708262011</v>
      </c>
    </row>
    <row r="16" spans="1:20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0.00568699404202277</v>
      </c>
      <c r="P16">
        <f t="shared" si="2"/>
        <v>0.501421744678681</v>
      </c>
      <c r="Q16">
        <f t="shared" si="3"/>
        <v>1</v>
      </c>
      <c r="R16">
        <f t="shared" si="4"/>
        <v>1</v>
      </c>
      <c r="S16">
        <f t="shared" si="5"/>
        <v>0.498578255321319</v>
      </c>
      <c r="T16">
        <f t="shared" si="6"/>
        <v>0.695994720313163</v>
      </c>
    </row>
    <row r="17" spans="1:20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-2.35673907814099</v>
      </c>
      <c r="P17">
        <f t="shared" si="2"/>
        <v>0.0865316031385552</v>
      </c>
      <c r="Q17">
        <f t="shared" si="3"/>
        <v>0</v>
      </c>
      <c r="R17">
        <f t="shared" si="4"/>
        <v>0</v>
      </c>
      <c r="S17">
        <f t="shared" si="5"/>
        <v>0.913468396861445</v>
      </c>
      <c r="T17">
        <f t="shared" si="6"/>
        <v>0.0905064994259625</v>
      </c>
    </row>
    <row r="18" spans="1:20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</v>
      </c>
      <c r="P18">
        <f t="shared" si="2"/>
        <v>0.79557497447025</v>
      </c>
      <c r="Q18">
        <f t="shared" si="3"/>
        <v>1</v>
      </c>
      <c r="R18">
        <f t="shared" si="4"/>
        <v>0</v>
      </c>
      <c r="S18">
        <f t="shared" si="5"/>
        <v>0.79557497447025</v>
      </c>
      <c r="T18">
        <f t="shared" si="6"/>
        <v>0.228690187411252</v>
      </c>
    </row>
    <row r="19" spans="1:20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-1.92992948581125</v>
      </c>
      <c r="P19">
        <f t="shared" si="2"/>
        <v>0.126758385181416</v>
      </c>
      <c r="Q19">
        <f t="shared" si="3"/>
        <v>0</v>
      </c>
      <c r="R19">
        <f t="shared" si="4"/>
        <v>0</v>
      </c>
      <c r="S19">
        <f t="shared" si="5"/>
        <v>0.873241614818584</v>
      </c>
      <c r="T19">
        <f t="shared" si="6"/>
        <v>0.135542997610312</v>
      </c>
    </row>
    <row r="20" spans="1:20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-1.20762647918257</v>
      </c>
      <c r="P20">
        <f t="shared" si="2"/>
        <v>0.230121287524442</v>
      </c>
      <c r="Q20">
        <f t="shared" si="3"/>
        <v>0</v>
      </c>
      <c r="R20">
        <f t="shared" si="4"/>
        <v>0</v>
      </c>
      <c r="S20">
        <f t="shared" si="5"/>
        <v>0.769878712475558</v>
      </c>
      <c r="T20">
        <f t="shared" si="6"/>
        <v>0.261522292806907</v>
      </c>
    </row>
    <row r="21" spans="1:20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</v>
      </c>
      <c r="P21">
        <f t="shared" si="2"/>
        <v>0.0917943071573566</v>
      </c>
      <c r="Q21">
        <f t="shared" si="3"/>
        <v>0</v>
      </c>
      <c r="R21">
        <f t="shared" si="4"/>
        <v>0</v>
      </c>
      <c r="S21">
        <f t="shared" si="5"/>
        <v>0.908205692842643</v>
      </c>
      <c r="T21">
        <f t="shared" si="6"/>
        <v>0.0962843920681197</v>
      </c>
    </row>
    <row r="22" spans="1:20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</v>
      </c>
      <c r="P22">
        <f t="shared" si="2"/>
        <v>0.287802298909793</v>
      </c>
      <c r="Q22">
        <f t="shared" si="3"/>
        <v>0</v>
      </c>
      <c r="R22">
        <f t="shared" si="4"/>
        <v>1</v>
      </c>
      <c r="S22">
        <f t="shared" si="5"/>
        <v>0.287802298909793</v>
      </c>
      <c r="T22">
        <f t="shared" si="6"/>
        <v>1.24548149668797</v>
      </c>
    </row>
    <row r="23" spans="1:20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-1.36895046922769</v>
      </c>
      <c r="P23">
        <f t="shared" si="2"/>
        <v>0.202789466841407</v>
      </c>
      <c r="Q23">
        <f t="shared" si="3"/>
        <v>0</v>
      </c>
      <c r="R23">
        <f t="shared" si="4"/>
        <v>0</v>
      </c>
      <c r="S23">
        <f t="shared" si="5"/>
        <v>0.797210533158593</v>
      </c>
      <c r="T23">
        <f t="shared" si="6"/>
        <v>0.226636478038119</v>
      </c>
    </row>
    <row r="24" spans="1:20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</v>
      </c>
      <c r="P24">
        <f t="shared" si="2"/>
        <v>0.0453872384540626</v>
      </c>
      <c r="Q24">
        <f t="shared" si="3"/>
        <v>0</v>
      </c>
      <c r="R24">
        <f t="shared" si="4"/>
        <v>0</v>
      </c>
      <c r="S24">
        <f t="shared" si="5"/>
        <v>0.954612761545937</v>
      </c>
      <c r="T24">
        <f t="shared" si="6"/>
        <v>0.0464495060250098</v>
      </c>
    </row>
    <row r="25" spans="1:20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</v>
      </c>
      <c r="P25">
        <f t="shared" si="2"/>
        <v>0.0506285700367524</v>
      </c>
      <c r="Q25">
        <f t="shared" si="3"/>
        <v>0</v>
      </c>
      <c r="R25">
        <f t="shared" si="4"/>
        <v>0</v>
      </c>
      <c r="S25">
        <f t="shared" si="5"/>
        <v>0.949371429963248</v>
      </c>
      <c r="T25">
        <f t="shared" si="6"/>
        <v>0.051955166046546</v>
      </c>
    </row>
    <row r="26" spans="1:20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-1.63399804508778</v>
      </c>
      <c r="P26">
        <f t="shared" si="2"/>
        <v>0.163283404980317</v>
      </c>
      <c r="Q26">
        <f t="shared" si="3"/>
        <v>0</v>
      </c>
      <c r="R26">
        <f t="shared" si="4"/>
        <v>0</v>
      </c>
      <c r="S26">
        <f t="shared" si="5"/>
        <v>0.836716595019683</v>
      </c>
      <c r="T26">
        <f t="shared" si="6"/>
        <v>0.178269861982588</v>
      </c>
    </row>
    <row r="27" spans="1:20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</v>
      </c>
      <c r="P27">
        <f t="shared" si="2"/>
        <v>0.00968307266630694</v>
      </c>
      <c r="Q27">
        <f t="shared" si="3"/>
        <v>0</v>
      </c>
      <c r="R27">
        <f t="shared" si="4"/>
        <v>0</v>
      </c>
      <c r="S27">
        <f t="shared" si="5"/>
        <v>0.990316927333693</v>
      </c>
      <c r="T27">
        <f t="shared" si="6"/>
        <v>0.00973025846384291</v>
      </c>
    </row>
    <row r="28" spans="1:20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</v>
      </c>
      <c r="P28">
        <f t="shared" si="2"/>
        <v>0.164551566068724</v>
      </c>
      <c r="Q28">
        <f t="shared" si="3"/>
        <v>0</v>
      </c>
      <c r="R28">
        <f t="shared" si="4"/>
        <v>1</v>
      </c>
      <c r="S28">
        <f t="shared" si="5"/>
        <v>0.164551566068724</v>
      </c>
      <c r="T28">
        <f t="shared" si="6"/>
        <v>1.80453128635625</v>
      </c>
    </row>
    <row r="29" spans="1:20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</v>
      </c>
      <c r="P29">
        <f t="shared" si="2"/>
        <v>0.913634130323312</v>
      </c>
      <c r="Q29">
        <f t="shared" si="3"/>
        <v>1</v>
      </c>
      <c r="R29">
        <f t="shared" si="4"/>
        <v>0</v>
      </c>
      <c r="S29">
        <f t="shared" si="5"/>
        <v>0.913634130323312</v>
      </c>
      <c r="T29">
        <f t="shared" si="6"/>
        <v>0.0903250827185194</v>
      </c>
    </row>
    <row r="30" spans="1:20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4.91389319435506</v>
      </c>
      <c r="P30">
        <f t="shared" si="2"/>
        <v>0.992709697227545</v>
      </c>
      <c r="Q30">
        <f t="shared" si="3"/>
        <v>1</v>
      </c>
      <c r="R30">
        <f t="shared" si="4"/>
        <v>0</v>
      </c>
      <c r="S30">
        <f t="shared" si="5"/>
        <v>0.992709697227545</v>
      </c>
      <c r="T30">
        <f t="shared" si="6"/>
        <v>0.00731700689630107</v>
      </c>
    </row>
    <row r="31" spans="1:20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-3.07082510453533</v>
      </c>
      <c r="P31">
        <f t="shared" si="2"/>
        <v>0.0443268613739327</v>
      </c>
      <c r="Q31">
        <f t="shared" si="3"/>
        <v>0</v>
      </c>
      <c r="R31">
        <f t="shared" si="4"/>
        <v>0</v>
      </c>
      <c r="S31">
        <f t="shared" si="5"/>
        <v>0.955673138626067</v>
      </c>
      <c r="T31">
        <f t="shared" si="6"/>
        <v>0.0453393295965044</v>
      </c>
    </row>
    <row r="32" spans="1:20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</v>
      </c>
      <c r="P32">
        <f t="shared" si="2"/>
        <v>0.0211486770276779</v>
      </c>
      <c r="Q32">
        <f t="shared" si="3"/>
        <v>0</v>
      </c>
      <c r="R32">
        <f t="shared" si="4"/>
        <v>0</v>
      </c>
      <c r="S32">
        <f t="shared" si="5"/>
        <v>0.978851322972322</v>
      </c>
      <c r="T32">
        <f t="shared" si="6"/>
        <v>0.0213755142027298</v>
      </c>
    </row>
    <row r="33" spans="1:20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-1.96627691018723</v>
      </c>
      <c r="P33">
        <f t="shared" si="2"/>
        <v>0.122789345865788</v>
      </c>
      <c r="Q33">
        <f t="shared" si="3"/>
        <v>0</v>
      </c>
      <c r="R33">
        <f t="shared" si="4"/>
        <v>0</v>
      </c>
      <c r="S33">
        <f t="shared" si="5"/>
        <v>0.877210654134212</v>
      </c>
      <c r="T33">
        <f t="shared" si="6"/>
        <v>0.131008116896325</v>
      </c>
    </row>
    <row r="34" spans="1:20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-1.08586547136924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0.747602363662554</v>
      </c>
      <c r="T34">
        <f t="shared" si="6"/>
        <v>0.29088404173832</v>
      </c>
    </row>
    <row r="35" spans="1:20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2.25893284930579</v>
      </c>
      <c r="P35">
        <f t="shared" si="2"/>
        <v>0.905418284046281</v>
      </c>
      <c r="Q35">
        <f t="shared" si="3"/>
        <v>1</v>
      </c>
      <c r="R35">
        <f t="shared" si="4"/>
        <v>0</v>
      </c>
      <c r="S35">
        <f t="shared" si="5"/>
        <v>0.905418284046281</v>
      </c>
      <c r="T35">
        <f t="shared" si="6"/>
        <v>0.0993582497438465</v>
      </c>
    </row>
    <row r="36" spans="1:20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-1.75136843754464</v>
      </c>
      <c r="P36">
        <f t="shared" si="2"/>
        <v>0.147874681179892</v>
      </c>
      <c r="Q36">
        <f t="shared" si="3"/>
        <v>0</v>
      </c>
      <c r="R36">
        <f t="shared" si="4"/>
        <v>0</v>
      </c>
      <c r="S36">
        <f t="shared" si="5"/>
        <v>0.852125318820108</v>
      </c>
      <c r="T36">
        <f t="shared" si="6"/>
        <v>0.160021675152146</v>
      </c>
    </row>
    <row r="37" spans="1:20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</v>
      </c>
      <c r="P37">
        <f t="shared" si="2"/>
        <v>0.859717926852341</v>
      </c>
      <c r="Q37">
        <f t="shared" si="3"/>
        <v>1</v>
      </c>
      <c r="R37">
        <f t="shared" si="4"/>
        <v>0</v>
      </c>
      <c r="S37">
        <f t="shared" si="5"/>
        <v>0.859717926852341</v>
      </c>
      <c r="T37">
        <f t="shared" si="6"/>
        <v>0.151150935567897</v>
      </c>
    </row>
    <row r="38" spans="1:20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</v>
      </c>
      <c r="P38">
        <f t="shared" si="2"/>
        <v>0.134419319416843</v>
      </c>
      <c r="Q38">
        <f t="shared" si="3"/>
        <v>0</v>
      </c>
      <c r="R38">
        <f t="shared" si="4"/>
        <v>1</v>
      </c>
      <c r="S38">
        <f t="shared" si="5"/>
        <v>0.134419319416843</v>
      </c>
      <c r="T38">
        <f t="shared" si="6"/>
        <v>2.00679111556247</v>
      </c>
    </row>
    <row r="39" spans="1:20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</v>
      </c>
      <c r="P39">
        <f t="shared" si="2"/>
        <v>0.541652751767724</v>
      </c>
      <c r="Q39">
        <f t="shared" si="3"/>
        <v>1</v>
      </c>
      <c r="R39">
        <f t="shared" si="4"/>
        <v>1</v>
      </c>
      <c r="S39">
        <f t="shared" si="5"/>
        <v>0.458347248232276</v>
      </c>
      <c r="T39">
        <f t="shared" si="6"/>
        <v>0.780128198230912</v>
      </c>
    </row>
    <row r="40" spans="1:20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</v>
      </c>
      <c r="Q40">
        <f t="shared" si="3"/>
        <v>0</v>
      </c>
      <c r="R40">
        <f t="shared" si="4"/>
        <v>0</v>
      </c>
      <c r="S40">
        <f t="shared" si="5"/>
        <v>0.850444102460223</v>
      </c>
      <c r="T40">
        <f t="shared" si="6"/>
        <v>0.161996592456907</v>
      </c>
    </row>
    <row r="41" spans="1:20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</v>
      </c>
      <c r="P41">
        <f t="shared" si="2"/>
        <v>0.126442919960784</v>
      </c>
      <c r="Q41">
        <f t="shared" si="3"/>
        <v>0</v>
      </c>
      <c r="R41">
        <f t="shared" si="4"/>
        <v>0</v>
      </c>
      <c r="S41">
        <f t="shared" si="5"/>
        <v>0.873557080039216</v>
      </c>
      <c r="T41">
        <f t="shared" si="6"/>
        <v>0.135181805190154</v>
      </c>
    </row>
    <row r="42" spans="1:20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</v>
      </c>
      <c r="P42">
        <f t="shared" si="2"/>
        <v>0.924600623346939</v>
      </c>
      <c r="Q42">
        <f t="shared" si="3"/>
        <v>1</v>
      </c>
      <c r="R42">
        <f t="shared" si="4"/>
        <v>0</v>
      </c>
      <c r="S42">
        <f t="shared" si="5"/>
        <v>0.924600623346939</v>
      </c>
      <c r="T42">
        <f t="shared" si="6"/>
        <v>0.0783933932481193</v>
      </c>
    </row>
    <row r="43" spans="1:20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4.14327667576239</v>
      </c>
      <c r="P43">
        <f t="shared" si="2"/>
        <v>0.984377183153201</v>
      </c>
      <c r="Q43">
        <f t="shared" si="3"/>
        <v>1</v>
      </c>
      <c r="R43">
        <f t="shared" si="4"/>
        <v>0</v>
      </c>
      <c r="S43">
        <f t="shared" si="5"/>
        <v>0.984377183153201</v>
      </c>
      <c r="T43">
        <f t="shared" si="6"/>
        <v>0.0157461391641717</v>
      </c>
    </row>
    <row r="44" spans="1:20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</v>
      </c>
      <c r="P44">
        <f t="shared" si="2"/>
        <v>0.976159276503225</v>
      </c>
      <c r="Q44">
        <f t="shared" si="3"/>
        <v>1</v>
      </c>
      <c r="R44">
        <f t="shared" si="4"/>
        <v>0</v>
      </c>
      <c r="S44">
        <f t="shared" si="5"/>
        <v>0.976159276503225</v>
      </c>
      <c r="T44">
        <f t="shared" si="6"/>
        <v>0.0241295127450464</v>
      </c>
    </row>
    <row r="45" spans="1:20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</v>
      </c>
      <c r="P45">
        <f t="shared" si="2"/>
        <v>0.292443126356622</v>
      </c>
      <c r="Q45">
        <f t="shared" si="3"/>
        <v>0</v>
      </c>
      <c r="R45">
        <f t="shared" si="4"/>
        <v>0</v>
      </c>
      <c r="S45">
        <f t="shared" si="5"/>
        <v>0.707556873643378</v>
      </c>
      <c r="T45">
        <f t="shared" si="6"/>
        <v>0.345937265920495</v>
      </c>
    </row>
    <row r="46" spans="1:20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</v>
      </c>
      <c r="P46">
        <f t="shared" si="2"/>
        <v>0.988726873724367</v>
      </c>
      <c r="Q46">
        <f t="shared" si="3"/>
        <v>1</v>
      </c>
      <c r="R46">
        <f t="shared" si="4"/>
        <v>0</v>
      </c>
      <c r="S46">
        <f t="shared" si="5"/>
        <v>0.988726873724367</v>
      </c>
      <c r="T46">
        <f t="shared" si="6"/>
        <v>0.0113371495802659</v>
      </c>
    </row>
    <row r="47" spans="1:20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-1.11888479824585</v>
      </c>
      <c r="P47">
        <f t="shared" si="2"/>
        <v>0.246218200612999</v>
      </c>
      <c r="Q47">
        <f t="shared" si="3"/>
        <v>0</v>
      </c>
      <c r="R47">
        <f t="shared" si="4"/>
        <v>0</v>
      </c>
      <c r="S47">
        <f t="shared" si="5"/>
        <v>0.753781799387001</v>
      </c>
      <c r="T47">
        <f t="shared" si="6"/>
        <v>0.282652343589179</v>
      </c>
    </row>
    <row r="48" spans="1:20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</v>
      </c>
      <c r="P48">
        <f t="shared" si="2"/>
        <v>0.272533370221395</v>
      </c>
      <c r="Q48">
        <f t="shared" si="3"/>
        <v>0</v>
      </c>
      <c r="R48">
        <f t="shared" si="4"/>
        <v>0</v>
      </c>
      <c r="S48">
        <f t="shared" si="5"/>
        <v>0.727466629778605</v>
      </c>
      <c r="T48">
        <f t="shared" si="6"/>
        <v>0.318187150708668</v>
      </c>
    </row>
    <row r="49" spans="1:20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-2.77109056969853</v>
      </c>
      <c r="P49">
        <f t="shared" si="2"/>
        <v>0.058906526954684</v>
      </c>
      <c r="Q49">
        <f t="shared" si="3"/>
        <v>0</v>
      </c>
      <c r="R49">
        <f t="shared" si="4"/>
        <v>0</v>
      </c>
      <c r="S49">
        <f t="shared" si="5"/>
        <v>0.941093473045316</v>
      </c>
      <c r="T49">
        <f t="shared" si="6"/>
        <v>0.0607128105943025</v>
      </c>
    </row>
    <row r="50" spans="1:20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</v>
      </c>
      <c r="P50">
        <f t="shared" si="2"/>
        <v>0.0718522684405556</v>
      </c>
      <c r="Q50">
        <f t="shared" si="3"/>
        <v>0</v>
      </c>
      <c r="R50">
        <f t="shared" si="4"/>
        <v>1</v>
      </c>
      <c r="S50">
        <f t="shared" si="5"/>
        <v>0.0718522684405556</v>
      </c>
      <c r="T50">
        <f t="shared" si="6"/>
        <v>2.63314309506188</v>
      </c>
    </row>
    <row r="51" spans="1:20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1.20237563295056</v>
      </c>
      <c r="P51">
        <f t="shared" si="2"/>
        <v>0.768947125776277</v>
      </c>
      <c r="Q51">
        <f t="shared" si="3"/>
        <v>1</v>
      </c>
      <c r="R51">
        <f t="shared" si="4"/>
        <v>0</v>
      </c>
      <c r="S51">
        <f t="shared" si="5"/>
        <v>0.768947125776277</v>
      </c>
      <c r="T51">
        <f t="shared" si="6"/>
        <v>0.262733068958347</v>
      </c>
    </row>
    <row r="52" spans="1:20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0.0888868389535699</v>
      </c>
      <c r="Q52">
        <f t="shared" si="3"/>
        <v>0</v>
      </c>
      <c r="R52">
        <f t="shared" si="4"/>
        <v>0</v>
      </c>
      <c r="S52">
        <f t="shared" si="5"/>
        <v>0.91111316104643</v>
      </c>
      <c r="T52">
        <f t="shared" si="6"/>
        <v>0.0930881731395345</v>
      </c>
    </row>
    <row r="53" spans="1:20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</v>
      </c>
      <c r="P53">
        <f t="shared" si="2"/>
        <v>0.916199264519455</v>
      </c>
      <c r="Q53">
        <f t="shared" si="3"/>
        <v>1</v>
      </c>
      <c r="R53">
        <f t="shared" si="4"/>
        <v>0</v>
      </c>
      <c r="S53">
        <f t="shared" si="5"/>
        <v>0.916199264519455</v>
      </c>
      <c r="T53">
        <f t="shared" si="6"/>
        <v>0.0875214002809032</v>
      </c>
    </row>
    <row r="54" spans="1:20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-1.82442219479433</v>
      </c>
      <c r="P54">
        <f t="shared" si="2"/>
        <v>0.138904090261548</v>
      </c>
      <c r="Q54">
        <f t="shared" si="3"/>
        <v>0</v>
      </c>
      <c r="R54">
        <f t="shared" si="4"/>
        <v>0</v>
      </c>
      <c r="S54">
        <f t="shared" si="5"/>
        <v>0.861095909738452</v>
      </c>
      <c r="T54">
        <f t="shared" si="6"/>
        <v>0.149549387333742</v>
      </c>
    </row>
    <row r="55" spans="1:20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</v>
      </c>
      <c r="P55">
        <f t="shared" si="2"/>
        <v>0.166976622435741</v>
      </c>
      <c r="Q55">
        <f t="shared" si="3"/>
        <v>0</v>
      </c>
      <c r="R55">
        <f t="shared" si="4"/>
        <v>0</v>
      </c>
      <c r="S55">
        <f t="shared" si="5"/>
        <v>0.833023377564259</v>
      </c>
      <c r="T55">
        <f t="shared" si="6"/>
        <v>0.182693572906257</v>
      </c>
    </row>
    <row r="56" spans="1:20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-3.88964661123573</v>
      </c>
      <c r="P56">
        <f t="shared" si="2"/>
        <v>0.020042648744363</v>
      </c>
      <c r="Q56">
        <f t="shared" si="3"/>
        <v>0</v>
      </c>
      <c r="R56">
        <f t="shared" si="4"/>
        <v>0</v>
      </c>
      <c r="S56">
        <f t="shared" si="5"/>
        <v>0.979957351255637</v>
      </c>
      <c r="T56">
        <f t="shared" si="6"/>
        <v>0.0202462273914052</v>
      </c>
    </row>
    <row r="57" spans="1:20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</v>
      </c>
      <c r="P57">
        <f t="shared" si="2"/>
        <v>0.326466568562467</v>
      </c>
      <c r="Q57">
        <f t="shared" si="3"/>
        <v>0</v>
      </c>
      <c r="R57">
        <f t="shared" si="4"/>
        <v>0</v>
      </c>
      <c r="S57">
        <f t="shared" si="5"/>
        <v>0.673533431437533</v>
      </c>
      <c r="T57">
        <f t="shared" si="6"/>
        <v>0.395217646000583</v>
      </c>
    </row>
    <row r="58" spans="1:20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-0.0400173524646457</v>
      </c>
      <c r="P58">
        <f t="shared" si="2"/>
        <v>0.489996996739409</v>
      </c>
      <c r="Q58">
        <f t="shared" si="3"/>
        <v>0</v>
      </c>
      <c r="R58">
        <f t="shared" si="4"/>
        <v>1</v>
      </c>
      <c r="S58">
        <f t="shared" si="5"/>
        <v>0.489996996739409</v>
      </c>
      <c r="T58">
        <f t="shared" si="6"/>
        <v>0.713356016999494</v>
      </c>
    </row>
    <row r="59" spans="1:20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</v>
      </c>
      <c r="P59">
        <f t="shared" si="2"/>
        <v>0.0429144694699953</v>
      </c>
      <c r="Q59">
        <f t="shared" si="3"/>
        <v>0</v>
      </c>
      <c r="R59">
        <f t="shared" si="4"/>
        <v>0</v>
      </c>
      <c r="S59">
        <f t="shared" si="5"/>
        <v>0.957085530530005</v>
      </c>
      <c r="T59">
        <f t="shared" si="6"/>
        <v>0.0438625179281932</v>
      </c>
    </row>
    <row r="60" spans="1:20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2.32526382549823</v>
      </c>
      <c r="P60">
        <f t="shared" si="2"/>
        <v>0.910947876595512</v>
      </c>
      <c r="Q60">
        <f t="shared" si="3"/>
        <v>1</v>
      </c>
      <c r="R60">
        <f t="shared" si="4"/>
        <v>0</v>
      </c>
      <c r="S60">
        <f t="shared" si="5"/>
        <v>0.910947876595512</v>
      </c>
      <c r="T60">
        <f t="shared" si="6"/>
        <v>0.0932695989512465</v>
      </c>
    </row>
    <row r="61" spans="1:20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</v>
      </c>
      <c r="K61">
        <v>2</v>
      </c>
      <c r="L61">
        <v>1</v>
      </c>
      <c r="M61">
        <v>7</v>
      </c>
      <c r="N61">
        <v>1</v>
      </c>
      <c r="O61">
        <f t="shared" si="1"/>
        <v>4.31238667100589</v>
      </c>
      <c r="P61">
        <f t="shared" si="2"/>
        <v>0.986775699451812</v>
      </c>
      <c r="Q61">
        <f t="shared" si="3"/>
        <v>1</v>
      </c>
      <c r="R61">
        <f t="shared" si="4"/>
        <v>0</v>
      </c>
      <c r="S61">
        <f t="shared" si="5"/>
        <v>0.986775699451812</v>
      </c>
      <c r="T61">
        <f t="shared" si="6"/>
        <v>0.0133125202363406</v>
      </c>
    </row>
    <row r="62" spans="1:20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1.08488382750681</v>
      </c>
      <c r="P62">
        <f t="shared" si="2"/>
        <v>0.74741708925156</v>
      </c>
      <c r="Q62">
        <f t="shared" si="3"/>
        <v>1</v>
      </c>
      <c r="R62">
        <f t="shared" si="4"/>
        <v>0</v>
      </c>
      <c r="S62">
        <f t="shared" si="5"/>
        <v>0.74741708925156</v>
      </c>
      <c r="T62">
        <f t="shared" si="6"/>
        <v>0.291131897258301</v>
      </c>
    </row>
    <row r="63" spans="1:20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</v>
      </c>
      <c r="P63">
        <f t="shared" si="2"/>
        <v>0.34742233507787</v>
      </c>
      <c r="Q63">
        <f t="shared" si="3"/>
        <v>0</v>
      </c>
      <c r="R63">
        <f t="shared" si="4"/>
        <v>1</v>
      </c>
      <c r="S63">
        <f t="shared" si="5"/>
        <v>0.34742233507787</v>
      </c>
      <c r="T63">
        <f t="shared" si="6"/>
        <v>1.05721413513508</v>
      </c>
    </row>
    <row r="64" spans="1:20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</v>
      </c>
      <c r="P64">
        <f t="shared" si="2"/>
        <v>0.680170373846386</v>
      </c>
      <c r="Q64">
        <f t="shared" si="3"/>
        <v>1</v>
      </c>
      <c r="R64">
        <f t="shared" si="4"/>
        <v>1</v>
      </c>
      <c r="S64">
        <f t="shared" si="5"/>
        <v>0.319829626153614</v>
      </c>
      <c r="T64">
        <f t="shared" si="6"/>
        <v>1.13996684324326</v>
      </c>
    </row>
    <row r="65" spans="1:20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-0.0879115865825471</v>
      </c>
      <c r="P65">
        <f t="shared" si="2"/>
        <v>0.478036247007834</v>
      </c>
      <c r="Q65">
        <f t="shared" si="3"/>
        <v>0</v>
      </c>
      <c r="R65">
        <f t="shared" si="4"/>
        <v>0</v>
      </c>
      <c r="S65">
        <f t="shared" si="5"/>
        <v>0.521963752992166</v>
      </c>
      <c r="T65">
        <f t="shared" si="6"/>
        <v>0.650157132222803</v>
      </c>
    </row>
    <row r="66" spans="1:20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</v>
      </c>
      <c r="P66">
        <f t="shared" si="2"/>
        <v>0.666971870552541</v>
      </c>
      <c r="Q66">
        <f t="shared" si="3"/>
        <v>1</v>
      </c>
      <c r="R66">
        <f t="shared" si="4"/>
        <v>0</v>
      </c>
      <c r="S66">
        <f t="shared" si="5"/>
        <v>0.666971870552541</v>
      </c>
      <c r="T66">
        <f t="shared" si="6"/>
        <v>0.40500740704047</v>
      </c>
    </row>
    <row r="67" spans="1:20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</v>
      </c>
      <c r="P67">
        <f t="shared" si="2"/>
        <v>0.310163212195783</v>
      </c>
      <c r="Q67">
        <f t="shared" si="3"/>
        <v>0</v>
      </c>
      <c r="R67">
        <f t="shared" si="4"/>
        <v>0</v>
      </c>
      <c r="S67">
        <f t="shared" si="5"/>
        <v>0.689836787804217</v>
      </c>
      <c r="T67">
        <f t="shared" si="6"/>
        <v>0.37130024878487</v>
      </c>
    </row>
    <row r="68" spans="1:20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</v>
      </c>
      <c r="K68">
        <v>2</v>
      </c>
      <c r="L68">
        <v>3</v>
      </c>
      <c r="M68">
        <v>7</v>
      </c>
      <c r="N68">
        <v>1</v>
      </c>
      <c r="O68">
        <f t="shared" si="1"/>
        <v>6.18298762673768</v>
      </c>
      <c r="P68">
        <f t="shared" si="2"/>
        <v>0.997940000935935</v>
      </c>
      <c r="Q68">
        <f t="shared" si="3"/>
        <v>1</v>
      </c>
      <c r="R68">
        <f t="shared" si="4"/>
        <v>0</v>
      </c>
      <c r="S68">
        <f t="shared" si="5"/>
        <v>0.997940000935935</v>
      </c>
      <c r="T68">
        <f t="shared" si="6"/>
        <v>0.00206212378058075</v>
      </c>
    </row>
    <row r="69" spans="1:20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</v>
      </c>
      <c r="P69">
        <f t="shared" si="2"/>
        <v>0.010171528688139</v>
      </c>
      <c r="Q69">
        <f t="shared" si="3"/>
        <v>0</v>
      </c>
      <c r="R69">
        <f t="shared" si="4"/>
        <v>0</v>
      </c>
      <c r="S69">
        <f t="shared" si="5"/>
        <v>0.989828471311861</v>
      </c>
      <c r="T69">
        <f t="shared" si="6"/>
        <v>0.0102236121661251</v>
      </c>
    </row>
    <row r="70" spans="1:20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</v>
      </c>
      <c r="P70">
        <f t="shared" si="2"/>
        <v>0.893744473804316</v>
      </c>
      <c r="Q70">
        <f t="shared" si="3"/>
        <v>1</v>
      </c>
      <c r="R70">
        <f t="shared" si="4"/>
        <v>0</v>
      </c>
      <c r="S70">
        <f t="shared" si="5"/>
        <v>0.893744473804316</v>
      </c>
      <c r="T70">
        <f t="shared" si="6"/>
        <v>0.112335368149045</v>
      </c>
    </row>
    <row r="71" spans="1:20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SUMPRODUCT(A$4:M$4,A71:M71)+N$4</f>
        <v>5.54653488528258</v>
      </c>
      <c r="P71">
        <f t="shared" ref="P71:P134" si="8">1/(1+EXP(0-O71))</f>
        <v>0.996114207193548</v>
      </c>
      <c r="Q71">
        <f t="shared" ref="Q71:Q134" si="9">IF(P71&lt;=0.5,0,1)</f>
        <v>1</v>
      </c>
      <c r="R71">
        <f t="shared" ref="R71:R134" si="10">IF(N71=Q71,0,1)</f>
        <v>0</v>
      </c>
      <c r="S71">
        <f t="shared" ref="S71:S134" si="11">IF(N71=1,P71,1-P71)</f>
        <v>0.996114207193548</v>
      </c>
      <c r="T71">
        <f t="shared" ref="T71:T134" si="12">IF(S71=0,1000000,-LN(S71))</f>
        <v>0.00389336211419019</v>
      </c>
    </row>
    <row r="72" spans="1:20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</v>
      </c>
      <c r="P72">
        <f t="shared" si="8"/>
        <v>0.333893562173711</v>
      </c>
      <c r="Q72">
        <f t="shared" si="9"/>
        <v>0</v>
      </c>
      <c r="R72">
        <f t="shared" si="10"/>
        <v>1</v>
      </c>
      <c r="S72">
        <f t="shared" si="11"/>
        <v>0.333893562173711</v>
      </c>
      <c r="T72">
        <f t="shared" si="12"/>
        <v>1.09693301292008</v>
      </c>
    </row>
    <row r="73" spans="1:20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0.12229683640648</v>
      </c>
      <c r="P73">
        <f t="shared" si="8"/>
        <v>0.530536159039113</v>
      </c>
      <c r="Q73">
        <f t="shared" si="9"/>
        <v>1</v>
      </c>
      <c r="R73">
        <f t="shared" si="10"/>
        <v>1</v>
      </c>
      <c r="S73">
        <f t="shared" si="11"/>
        <v>0.469463840960887</v>
      </c>
      <c r="T73">
        <f t="shared" si="12"/>
        <v>0.756163999357456</v>
      </c>
    </row>
    <row r="74" spans="1:20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</v>
      </c>
      <c r="P74">
        <f t="shared" si="8"/>
        <v>0.99010681195126</v>
      </c>
      <c r="Q74">
        <f t="shared" si="9"/>
        <v>1</v>
      </c>
      <c r="R74">
        <f t="shared" si="10"/>
        <v>0</v>
      </c>
      <c r="S74">
        <f t="shared" si="11"/>
        <v>0.99010681195126</v>
      </c>
      <c r="T74">
        <f t="shared" si="12"/>
        <v>0.00994245081344337</v>
      </c>
    </row>
    <row r="75" spans="1:20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-0.198708320834693</v>
      </c>
      <c r="P75">
        <f t="shared" si="8"/>
        <v>0.450485735224143</v>
      </c>
      <c r="Q75">
        <f t="shared" si="9"/>
        <v>0</v>
      </c>
      <c r="R75">
        <f t="shared" si="10"/>
        <v>1</v>
      </c>
      <c r="S75">
        <f t="shared" si="11"/>
        <v>0.450485735224143</v>
      </c>
      <c r="T75">
        <f t="shared" si="12"/>
        <v>0.797428866754398</v>
      </c>
    </row>
    <row r="76" spans="1:20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</v>
      </c>
      <c r="P76">
        <f t="shared" si="8"/>
        <v>0.0599062542324338</v>
      </c>
      <c r="Q76">
        <f t="shared" si="9"/>
        <v>0</v>
      </c>
      <c r="R76">
        <f t="shared" si="10"/>
        <v>0</v>
      </c>
      <c r="S76">
        <f t="shared" si="11"/>
        <v>0.940093745767566</v>
      </c>
      <c r="T76">
        <f t="shared" si="12"/>
        <v>0.0617756791507834</v>
      </c>
    </row>
    <row r="77" spans="1:20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1.31114240783922</v>
      </c>
      <c r="P77">
        <f t="shared" si="8"/>
        <v>0.787704259257134</v>
      </c>
      <c r="Q77">
        <f t="shared" si="9"/>
        <v>1</v>
      </c>
      <c r="R77">
        <f t="shared" si="10"/>
        <v>0</v>
      </c>
      <c r="S77">
        <f t="shared" si="11"/>
        <v>0.787704259257134</v>
      </c>
      <c r="T77">
        <f t="shared" si="12"/>
        <v>0.238632565080248</v>
      </c>
    </row>
    <row r="78" spans="1:20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4.9930236699282</v>
      </c>
      <c r="P78">
        <f t="shared" si="8"/>
        <v>0.993260610064019</v>
      </c>
      <c r="Q78">
        <f t="shared" si="9"/>
        <v>1</v>
      </c>
      <c r="R78">
        <f t="shared" si="10"/>
        <v>0</v>
      </c>
      <c r="S78">
        <f t="shared" si="11"/>
        <v>0.993260610064019</v>
      </c>
      <c r="T78">
        <f t="shared" si="12"/>
        <v>0.0067622021758248</v>
      </c>
    </row>
    <row r="79" spans="1:20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1.74936177946229</v>
      </c>
      <c r="P79">
        <f t="shared" si="8"/>
        <v>0.85187228562326</v>
      </c>
      <c r="Q79">
        <f t="shared" si="9"/>
        <v>1</v>
      </c>
      <c r="R79">
        <f t="shared" si="10"/>
        <v>0</v>
      </c>
      <c r="S79">
        <f t="shared" si="11"/>
        <v>0.85187228562326</v>
      </c>
      <c r="T79">
        <f t="shared" si="12"/>
        <v>0.16031866289209</v>
      </c>
    </row>
    <row r="80" spans="1:20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</v>
      </c>
      <c r="P80">
        <f t="shared" si="8"/>
        <v>0.259490076434368</v>
      </c>
      <c r="Q80">
        <f t="shared" si="9"/>
        <v>0</v>
      </c>
      <c r="R80">
        <f t="shared" si="10"/>
        <v>1</v>
      </c>
      <c r="S80">
        <f t="shared" si="11"/>
        <v>0.259490076434368</v>
      </c>
      <c r="T80">
        <f t="shared" si="12"/>
        <v>1.34903681820811</v>
      </c>
    </row>
    <row r="81" spans="1:20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</v>
      </c>
      <c r="P81">
        <f t="shared" si="8"/>
        <v>0.148037993711869</v>
      </c>
      <c r="Q81">
        <f t="shared" si="9"/>
        <v>0</v>
      </c>
      <c r="R81">
        <f t="shared" si="10"/>
        <v>0</v>
      </c>
      <c r="S81">
        <f t="shared" si="11"/>
        <v>0.851962006288131</v>
      </c>
      <c r="T81">
        <f t="shared" si="12"/>
        <v>0.160213346705675</v>
      </c>
    </row>
    <row r="82" spans="1:20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3.6986926503334</v>
      </c>
      <c r="P82">
        <f t="shared" si="8"/>
        <v>0.975842177996719</v>
      </c>
      <c r="Q82">
        <f t="shared" si="9"/>
        <v>1</v>
      </c>
      <c r="R82">
        <f t="shared" si="10"/>
        <v>0</v>
      </c>
      <c r="S82">
        <f t="shared" si="11"/>
        <v>0.975842177996719</v>
      </c>
      <c r="T82">
        <f t="shared" si="12"/>
        <v>0.0244544085165781</v>
      </c>
    </row>
    <row r="83" spans="1:20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</v>
      </c>
      <c r="P83">
        <f t="shared" si="8"/>
        <v>0.339477885855596</v>
      </c>
      <c r="Q83">
        <f t="shared" si="9"/>
        <v>0</v>
      </c>
      <c r="R83">
        <f t="shared" si="10"/>
        <v>0</v>
      </c>
      <c r="S83">
        <f t="shared" si="11"/>
        <v>0.660522114144404</v>
      </c>
      <c r="T83">
        <f t="shared" si="12"/>
        <v>0.41472467466516</v>
      </c>
    </row>
    <row r="84" spans="1:20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-2.24661528252071</v>
      </c>
      <c r="P84">
        <f t="shared" si="8"/>
        <v>0.0956418238151603</v>
      </c>
      <c r="Q84">
        <f t="shared" si="9"/>
        <v>0</v>
      </c>
      <c r="R84">
        <f t="shared" si="10"/>
        <v>0</v>
      </c>
      <c r="S84">
        <f t="shared" si="11"/>
        <v>0.90435817618484</v>
      </c>
      <c r="T84">
        <f t="shared" si="12"/>
        <v>0.100529784467594</v>
      </c>
    </row>
    <row r="85" spans="1:20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2.67546113718774</v>
      </c>
      <c r="P85">
        <f t="shared" si="8"/>
        <v>0.935563039327719</v>
      </c>
      <c r="Q85">
        <f t="shared" si="9"/>
        <v>1</v>
      </c>
      <c r="R85">
        <f t="shared" si="10"/>
        <v>0</v>
      </c>
      <c r="S85">
        <f t="shared" si="11"/>
        <v>0.935563039327719</v>
      </c>
      <c r="T85">
        <f t="shared" si="12"/>
        <v>0.0666067498325678</v>
      </c>
    </row>
    <row r="86" spans="1:20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</v>
      </c>
      <c r="P86">
        <f t="shared" si="8"/>
        <v>0.602943788184112</v>
      </c>
      <c r="Q86">
        <f t="shared" si="9"/>
        <v>1</v>
      </c>
      <c r="R86">
        <f t="shared" si="10"/>
        <v>1</v>
      </c>
      <c r="S86">
        <f t="shared" si="11"/>
        <v>0.397056211815888</v>
      </c>
      <c r="T86">
        <f t="shared" si="12"/>
        <v>0.923677416842286</v>
      </c>
    </row>
    <row r="87" spans="1:20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-1.56874542678114</v>
      </c>
      <c r="P87">
        <f t="shared" si="8"/>
        <v>0.172395314619802</v>
      </c>
      <c r="Q87">
        <f t="shared" si="9"/>
        <v>0</v>
      </c>
      <c r="R87">
        <f t="shared" si="10"/>
        <v>0</v>
      </c>
      <c r="S87">
        <f t="shared" si="11"/>
        <v>0.827604685380198</v>
      </c>
      <c r="T87">
        <f t="shared" si="12"/>
        <v>0.189219671720059</v>
      </c>
    </row>
    <row r="88" spans="1:20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</v>
      </c>
      <c r="P88">
        <f t="shared" si="8"/>
        <v>0.170230100035375</v>
      </c>
      <c r="Q88">
        <f t="shared" si="9"/>
        <v>0</v>
      </c>
      <c r="R88">
        <f t="shared" si="10"/>
        <v>0</v>
      </c>
      <c r="S88">
        <f t="shared" si="11"/>
        <v>0.829769899964625</v>
      </c>
      <c r="T88">
        <f t="shared" si="12"/>
        <v>0.186606845584828</v>
      </c>
    </row>
    <row r="89" spans="1:20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1.63938133270624</v>
      </c>
      <c r="P89">
        <f t="shared" si="8"/>
        <v>0.837450737677871</v>
      </c>
      <c r="Q89">
        <f t="shared" si="9"/>
        <v>1</v>
      </c>
      <c r="R89">
        <f t="shared" si="10"/>
        <v>0</v>
      </c>
      <c r="S89">
        <f t="shared" si="11"/>
        <v>0.837450737677871</v>
      </c>
      <c r="T89">
        <f t="shared" si="12"/>
        <v>0.177392837696059</v>
      </c>
    </row>
    <row r="90" spans="1:20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-3.03909544422335</v>
      </c>
      <c r="P90">
        <f t="shared" si="8"/>
        <v>0.0456905958942563</v>
      </c>
      <c r="Q90">
        <f t="shared" si="9"/>
        <v>0</v>
      </c>
      <c r="R90">
        <f t="shared" si="10"/>
        <v>0</v>
      </c>
      <c r="S90">
        <f t="shared" si="11"/>
        <v>0.954309404105744</v>
      </c>
      <c r="T90">
        <f t="shared" si="12"/>
        <v>0.0467673371531783</v>
      </c>
    </row>
    <row r="91" spans="1:20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</v>
      </c>
      <c r="P91">
        <f t="shared" si="8"/>
        <v>0.114753245045729</v>
      </c>
      <c r="Q91">
        <f t="shared" si="9"/>
        <v>0</v>
      </c>
      <c r="R91">
        <f t="shared" si="10"/>
        <v>0</v>
      </c>
      <c r="S91">
        <f t="shared" si="11"/>
        <v>0.885246754954271</v>
      </c>
      <c r="T91">
        <f t="shared" si="12"/>
        <v>0.121888853679677</v>
      </c>
    </row>
    <row r="92" spans="1:20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</v>
      </c>
      <c r="P92">
        <f t="shared" si="8"/>
        <v>0.178313206461616</v>
      </c>
      <c r="Q92">
        <f t="shared" si="9"/>
        <v>0</v>
      </c>
      <c r="R92">
        <f t="shared" si="10"/>
        <v>0</v>
      </c>
      <c r="S92">
        <f t="shared" si="11"/>
        <v>0.821686793538384</v>
      </c>
      <c r="T92">
        <f t="shared" si="12"/>
        <v>0.196395986294898</v>
      </c>
    </row>
    <row r="93" spans="1:20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</v>
      </c>
      <c r="P93">
        <f t="shared" si="8"/>
        <v>0.0726598370450935</v>
      </c>
      <c r="Q93">
        <f t="shared" si="9"/>
        <v>0</v>
      </c>
      <c r="R93">
        <f t="shared" si="10"/>
        <v>0</v>
      </c>
      <c r="S93">
        <f t="shared" si="11"/>
        <v>0.927340162954907</v>
      </c>
      <c r="T93">
        <f t="shared" si="12"/>
        <v>0.0754348303971706</v>
      </c>
    </row>
    <row r="94" spans="1:20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</v>
      </c>
      <c r="P94">
        <f t="shared" si="8"/>
        <v>0.055957009469629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0.0575835730575169</v>
      </c>
    </row>
    <row r="95" spans="1:20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</v>
      </c>
      <c r="P95">
        <f t="shared" si="8"/>
        <v>0.341494808049153</v>
      </c>
      <c r="Q95">
        <f t="shared" si="9"/>
        <v>0</v>
      </c>
      <c r="R95">
        <f t="shared" si="10"/>
        <v>0</v>
      </c>
      <c r="S95">
        <f t="shared" si="11"/>
        <v>0.658505191950847</v>
      </c>
      <c r="T95">
        <f t="shared" si="12"/>
        <v>0.417782873318347</v>
      </c>
    </row>
    <row r="96" spans="1:20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5.66806048015269</v>
      </c>
      <c r="P96">
        <f t="shared" si="8"/>
        <v>0.996557333924553</v>
      </c>
      <c r="Q96">
        <f t="shared" si="9"/>
        <v>1</v>
      </c>
      <c r="R96">
        <f t="shared" si="10"/>
        <v>0</v>
      </c>
      <c r="S96">
        <f t="shared" si="11"/>
        <v>0.996557333924553</v>
      </c>
      <c r="T96">
        <f t="shared" si="12"/>
        <v>0.00344860568628305</v>
      </c>
    </row>
    <row r="97" spans="1:20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3.84811661522356</v>
      </c>
      <c r="P97">
        <f t="shared" si="8"/>
        <v>0.979125195608157</v>
      </c>
      <c r="Q97">
        <f t="shared" si="9"/>
        <v>1</v>
      </c>
      <c r="R97">
        <f t="shared" si="10"/>
        <v>1</v>
      </c>
      <c r="S97">
        <f t="shared" si="11"/>
        <v>0.0208748043918425</v>
      </c>
      <c r="T97">
        <f t="shared" si="12"/>
        <v>3.86921237873978</v>
      </c>
    </row>
    <row r="98" spans="1:20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-4.26271949864307</v>
      </c>
      <c r="P98">
        <f t="shared" si="8"/>
        <v>0.0138883462423721</v>
      </c>
      <c r="Q98">
        <f t="shared" si="9"/>
        <v>0</v>
      </c>
      <c r="R98">
        <f t="shared" si="10"/>
        <v>0</v>
      </c>
      <c r="S98">
        <f t="shared" si="11"/>
        <v>0.986111653757628</v>
      </c>
      <c r="T98">
        <f t="shared" si="12"/>
        <v>0.0139856916854658</v>
      </c>
    </row>
    <row r="99" spans="1:20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-3.49423152619758</v>
      </c>
      <c r="P99">
        <f t="shared" si="8"/>
        <v>0.029476807668873</v>
      </c>
      <c r="Q99">
        <f t="shared" si="9"/>
        <v>0</v>
      </c>
      <c r="R99">
        <f t="shared" si="10"/>
        <v>0</v>
      </c>
      <c r="S99">
        <f t="shared" si="11"/>
        <v>0.970523192331127</v>
      </c>
      <c r="T99">
        <f t="shared" si="12"/>
        <v>0.0299199793570861</v>
      </c>
    </row>
    <row r="100" spans="1:20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1.70282088406843</v>
      </c>
      <c r="P100">
        <f t="shared" si="8"/>
        <v>0.845902799585682</v>
      </c>
      <c r="Q100">
        <f t="shared" si="9"/>
        <v>1</v>
      </c>
      <c r="R100">
        <f t="shared" si="10"/>
        <v>0</v>
      </c>
      <c r="S100">
        <f t="shared" si="11"/>
        <v>0.845902799585682</v>
      </c>
      <c r="T100">
        <f t="shared" si="12"/>
        <v>0.167350820083506</v>
      </c>
    </row>
    <row r="101" spans="1:20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2.84078828440881</v>
      </c>
      <c r="P101">
        <f t="shared" si="8"/>
        <v>0.944840559547408</v>
      </c>
      <c r="Q101">
        <f t="shared" si="9"/>
        <v>1</v>
      </c>
      <c r="R101">
        <f t="shared" si="10"/>
        <v>0</v>
      </c>
      <c r="S101">
        <f t="shared" si="11"/>
        <v>0.944840559547408</v>
      </c>
      <c r="T101">
        <f t="shared" si="12"/>
        <v>0.0567390857788765</v>
      </c>
    </row>
    <row r="102" spans="1:20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2.94919560132574</v>
      </c>
      <c r="P102">
        <f t="shared" si="8"/>
        <v>0.950225456542265</v>
      </c>
      <c r="Q102">
        <f t="shared" si="9"/>
        <v>1</v>
      </c>
      <c r="R102">
        <f t="shared" si="10"/>
        <v>0</v>
      </c>
      <c r="S102">
        <f t="shared" si="11"/>
        <v>0.950225456542265</v>
      </c>
      <c r="T102">
        <f t="shared" si="12"/>
        <v>0.0510559998680533</v>
      </c>
    </row>
    <row r="103" spans="1:20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-1.61646311079093</v>
      </c>
      <c r="P103">
        <f t="shared" si="8"/>
        <v>0.165693228208953</v>
      </c>
      <c r="Q103">
        <f t="shared" si="9"/>
        <v>0</v>
      </c>
      <c r="R103">
        <f t="shared" si="10"/>
        <v>0</v>
      </c>
      <c r="S103">
        <f t="shared" si="11"/>
        <v>0.834306771791047</v>
      </c>
      <c r="T103">
        <f t="shared" si="12"/>
        <v>0.181154112373204</v>
      </c>
    </row>
    <row r="104" spans="1:20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-2.14553530666148</v>
      </c>
      <c r="P104">
        <f t="shared" si="8"/>
        <v>0.104749169455044</v>
      </c>
      <c r="Q104">
        <f t="shared" si="9"/>
        <v>0</v>
      </c>
      <c r="R104">
        <f t="shared" si="10"/>
        <v>0</v>
      </c>
      <c r="S104">
        <f t="shared" si="11"/>
        <v>0.895250830544956</v>
      </c>
      <c r="T104">
        <f t="shared" si="12"/>
        <v>0.110651342379975</v>
      </c>
    </row>
    <row r="105" spans="1:20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-2.06087485472341</v>
      </c>
      <c r="P105">
        <f t="shared" si="8"/>
        <v>0.112958141167674</v>
      </c>
      <c r="Q105">
        <f t="shared" si="9"/>
        <v>0</v>
      </c>
      <c r="R105">
        <f t="shared" si="10"/>
        <v>0</v>
      </c>
      <c r="S105">
        <f t="shared" si="11"/>
        <v>0.887041858832326</v>
      </c>
      <c r="T105">
        <f t="shared" si="12"/>
        <v>0.119863106317803</v>
      </c>
    </row>
    <row r="106" spans="1:20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</v>
      </c>
      <c r="P106">
        <f t="shared" si="8"/>
        <v>0.0235897197949188</v>
      </c>
      <c r="Q106">
        <f t="shared" si="9"/>
        <v>0</v>
      </c>
      <c r="R106">
        <f t="shared" si="10"/>
        <v>0</v>
      </c>
      <c r="S106">
        <f t="shared" si="11"/>
        <v>0.976410280205081</v>
      </c>
      <c r="T106">
        <f t="shared" si="12"/>
        <v>0.0238724118367824</v>
      </c>
    </row>
    <row r="107" spans="1:20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</v>
      </c>
      <c r="P107">
        <f t="shared" si="8"/>
        <v>0.229604692586663</v>
      </c>
      <c r="Q107">
        <f t="shared" si="9"/>
        <v>0</v>
      </c>
      <c r="R107">
        <f t="shared" si="10"/>
        <v>0</v>
      </c>
      <c r="S107">
        <f t="shared" si="11"/>
        <v>0.770395307413337</v>
      </c>
      <c r="T107">
        <f t="shared" si="12"/>
        <v>0.260851509620956</v>
      </c>
    </row>
    <row r="108" spans="1:20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-3.03001934006994</v>
      </c>
      <c r="P108">
        <f t="shared" si="8"/>
        <v>0.046087976765395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0.0471838306179194</v>
      </c>
    </row>
    <row r="109" spans="1:20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3.77107114033797</v>
      </c>
      <c r="P109">
        <f t="shared" si="8"/>
        <v>0.977490940261656</v>
      </c>
      <c r="Q109">
        <f t="shared" si="9"/>
        <v>1</v>
      </c>
      <c r="R109">
        <f t="shared" si="10"/>
        <v>0</v>
      </c>
      <c r="S109">
        <f t="shared" si="11"/>
        <v>0.977490940261656</v>
      </c>
      <c r="T109">
        <f t="shared" si="12"/>
        <v>0.0227662554400873</v>
      </c>
    </row>
    <row r="110" spans="1:20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</v>
      </c>
      <c r="P110">
        <f t="shared" si="8"/>
        <v>0.144428110586817</v>
      </c>
      <c r="Q110">
        <f t="shared" si="9"/>
        <v>0</v>
      </c>
      <c r="R110">
        <f t="shared" si="10"/>
        <v>0</v>
      </c>
      <c r="S110">
        <f t="shared" si="11"/>
        <v>0.855571889413183</v>
      </c>
      <c r="T110">
        <f t="shared" si="12"/>
        <v>0.15598515713692</v>
      </c>
    </row>
    <row r="111" spans="1:20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</v>
      </c>
      <c r="P111">
        <f t="shared" si="8"/>
        <v>0.814862930752907</v>
      </c>
      <c r="Q111">
        <f t="shared" si="9"/>
        <v>1</v>
      </c>
      <c r="R111">
        <f t="shared" si="10"/>
        <v>0</v>
      </c>
      <c r="S111">
        <f t="shared" si="11"/>
        <v>0.814862930752907</v>
      </c>
      <c r="T111">
        <f t="shared" si="12"/>
        <v>0.204735363010909</v>
      </c>
    </row>
    <row r="112" spans="1:20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1.38670358123824</v>
      </c>
      <c r="P112">
        <f t="shared" si="8"/>
        <v>0.800065467180876</v>
      </c>
      <c r="Q112">
        <f t="shared" si="9"/>
        <v>1</v>
      </c>
      <c r="R112">
        <f t="shared" si="10"/>
        <v>0</v>
      </c>
      <c r="S112">
        <f t="shared" si="11"/>
        <v>0.800065467180876</v>
      </c>
      <c r="T112">
        <f t="shared" si="12"/>
        <v>0.223061720686332</v>
      </c>
    </row>
    <row r="113" spans="1:20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</v>
      </c>
      <c r="P113">
        <f t="shared" si="8"/>
        <v>0.964516788232104</v>
      </c>
      <c r="Q113">
        <f t="shared" si="9"/>
        <v>1</v>
      </c>
      <c r="R113">
        <f t="shared" si="10"/>
        <v>0</v>
      </c>
      <c r="S113">
        <f t="shared" si="11"/>
        <v>0.964516788232104</v>
      </c>
      <c r="T113">
        <f t="shared" si="12"/>
        <v>0.0361280406373936</v>
      </c>
    </row>
    <row r="114" spans="1:20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</v>
      </c>
      <c r="P114">
        <f t="shared" si="8"/>
        <v>0.639598606601577</v>
      </c>
      <c r="Q114">
        <f t="shared" si="9"/>
        <v>1</v>
      </c>
      <c r="R114">
        <f t="shared" si="10"/>
        <v>0</v>
      </c>
      <c r="S114">
        <f t="shared" si="11"/>
        <v>0.639598606601577</v>
      </c>
      <c r="T114">
        <f t="shared" si="12"/>
        <v>0.446914476571338</v>
      </c>
    </row>
    <row r="115" spans="1:20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1.28175191154065</v>
      </c>
      <c r="P115">
        <f t="shared" si="8"/>
        <v>0.782747842958657</v>
      </c>
      <c r="Q115">
        <f t="shared" si="9"/>
        <v>1</v>
      </c>
      <c r="R115">
        <f t="shared" si="10"/>
        <v>0</v>
      </c>
      <c r="S115">
        <f t="shared" si="11"/>
        <v>0.782747842958657</v>
      </c>
      <c r="T115">
        <f t="shared" si="12"/>
        <v>0.244944674501352</v>
      </c>
    </row>
    <row r="116" spans="1:20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</v>
      </c>
      <c r="P116">
        <f t="shared" si="8"/>
        <v>0.701590346415555</v>
      </c>
      <c r="Q116">
        <f t="shared" si="9"/>
        <v>1</v>
      </c>
      <c r="R116">
        <f t="shared" si="10"/>
        <v>0</v>
      </c>
      <c r="S116">
        <f t="shared" si="11"/>
        <v>0.701590346415555</v>
      </c>
      <c r="T116">
        <f t="shared" si="12"/>
        <v>0.354405597403724</v>
      </c>
    </row>
    <row r="117" spans="1:20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</v>
      </c>
      <c r="P117">
        <f t="shared" si="8"/>
        <v>0.0637598521934175</v>
      </c>
      <c r="Q117">
        <f t="shared" si="9"/>
        <v>0</v>
      </c>
      <c r="R117">
        <f t="shared" si="10"/>
        <v>0</v>
      </c>
      <c r="S117">
        <f t="shared" si="11"/>
        <v>0.936240147806582</v>
      </c>
      <c r="T117">
        <f t="shared" si="12"/>
        <v>0.0658832672431034</v>
      </c>
    </row>
    <row r="118" spans="1:20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</v>
      </c>
      <c r="P118">
        <f t="shared" si="8"/>
        <v>0.745238050013467</v>
      </c>
      <c r="Q118">
        <f t="shared" si="9"/>
        <v>1</v>
      </c>
      <c r="R118">
        <f t="shared" si="10"/>
        <v>0</v>
      </c>
      <c r="S118">
        <f t="shared" si="11"/>
        <v>0.745238050013467</v>
      </c>
      <c r="T118">
        <f t="shared" si="12"/>
        <v>0.294051581422068</v>
      </c>
    </row>
    <row r="119" spans="1:20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1.02451182558084</v>
      </c>
      <c r="P119">
        <f t="shared" si="8"/>
        <v>0.73585051617765</v>
      </c>
      <c r="Q119">
        <f t="shared" si="9"/>
        <v>1</v>
      </c>
      <c r="R119">
        <f t="shared" si="10"/>
        <v>0</v>
      </c>
      <c r="S119">
        <f t="shared" si="11"/>
        <v>0.73585051617765</v>
      </c>
      <c r="T119">
        <f t="shared" si="12"/>
        <v>0.306728283900969</v>
      </c>
    </row>
    <row r="120" spans="1:20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</v>
      </c>
      <c r="P120">
        <f t="shared" si="8"/>
        <v>0.320127349212607</v>
      </c>
      <c r="Q120">
        <f t="shared" si="9"/>
        <v>0</v>
      </c>
      <c r="R120">
        <f t="shared" si="10"/>
        <v>0</v>
      </c>
      <c r="S120">
        <f t="shared" si="11"/>
        <v>0.679872650787393</v>
      </c>
      <c r="T120">
        <f t="shared" si="12"/>
        <v>0.38584977660458</v>
      </c>
    </row>
    <row r="121" spans="1:20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</v>
      </c>
      <c r="P121">
        <f t="shared" si="8"/>
        <v>0.0442265620986182</v>
      </c>
      <c r="Q121">
        <f t="shared" si="9"/>
        <v>0</v>
      </c>
      <c r="R121">
        <f t="shared" si="10"/>
        <v>0</v>
      </c>
      <c r="S121">
        <f t="shared" si="11"/>
        <v>0.955773437901382</v>
      </c>
      <c r="T121">
        <f t="shared" si="12"/>
        <v>0.0452343836601248</v>
      </c>
    </row>
    <row r="122" spans="1:20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-3.14498935298767</v>
      </c>
      <c r="P122">
        <f t="shared" si="8"/>
        <v>0.0412891662633331</v>
      </c>
      <c r="Q122">
        <f t="shared" si="9"/>
        <v>0</v>
      </c>
      <c r="R122">
        <f t="shared" si="10"/>
        <v>0</v>
      </c>
      <c r="S122">
        <f t="shared" si="11"/>
        <v>0.958710833736667</v>
      </c>
      <c r="T122">
        <f t="shared" si="12"/>
        <v>0.0421657785179884</v>
      </c>
    </row>
    <row r="123" spans="1:20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</v>
      </c>
      <c r="P123">
        <f t="shared" si="8"/>
        <v>0.993426853155719</v>
      </c>
      <c r="Q123">
        <f t="shared" si="9"/>
        <v>1</v>
      </c>
      <c r="R123">
        <f t="shared" si="10"/>
        <v>0</v>
      </c>
      <c r="S123">
        <f t="shared" si="11"/>
        <v>0.993426853155719</v>
      </c>
      <c r="T123">
        <f t="shared" si="12"/>
        <v>0.00659484511019106</v>
      </c>
    </row>
    <row r="124" spans="1:20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3.21153277927362</v>
      </c>
      <c r="P124">
        <f t="shared" si="8"/>
        <v>0.961265976948785</v>
      </c>
      <c r="Q124">
        <f t="shared" si="9"/>
        <v>1</v>
      </c>
      <c r="R124">
        <f t="shared" si="10"/>
        <v>0</v>
      </c>
      <c r="S124">
        <f t="shared" si="11"/>
        <v>0.961265976948785</v>
      </c>
      <c r="T124">
        <f t="shared" si="12"/>
        <v>0.0395041372873704</v>
      </c>
    </row>
    <row r="125" spans="1:20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2.77593863266607</v>
      </c>
      <c r="P125">
        <f t="shared" si="8"/>
        <v>0.94136165889388</v>
      </c>
      <c r="Q125">
        <f t="shared" si="9"/>
        <v>1</v>
      </c>
      <c r="R125">
        <f t="shared" si="10"/>
        <v>0</v>
      </c>
      <c r="S125">
        <f t="shared" si="11"/>
        <v>0.94136165889388</v>
      </c>
      <c r="T125">
        <f t="shared" si="12"/>
        <v>0.0604278785969039</v>
      </c>
    </row>
    <row r="126" spans="1:20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5.32709559228998</v>
      </c>
      <c r="P126">
        <f t="shared" si="8"/>
        <v>0.995165327990705</v>
      </c>
      <c r="Q126">
        <f t="shared" si="9"/>
        <v>1</v>
      </c>
      <c r="R126">
        <f t="shared" si="10"/>
        <v>0</v>
      </c>
      <c r="S126">
        <f t="shared" si="11"/>
        <v>0.995165327990705</v>
      </c>
      <c r="T126">
        <f t="shared" si="12"/>
        <v>0.00484639684175826</v>
      </c>
    </row>
    <row r="127" spans="1:20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-1.10165211301541</v>
      </c>
      <c r="P127">
        <f t="shared" si="8"/>
        <v>0.24943046619413</v>
      </c>
      <c r="Q127">
        <f t="shared" si="9"/>
        <v>0</v>
      </c>
      <c r="R127">
        <f t="shared" si="10"/>
        <v>0</v>
      </c>
      <c r="S127">
        <f t="shared" si="11"/>
        <v>0.75056953380587</v>
      </c>
      <c r="T127">
        <f t="shared" si="12"/>
        <v>0.286922982225854</v>
      </c>
    </row>
    <row r="128" spans="1:20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</v>
      </c>
      <c r="P128">
        <f t="shared" si="8"/>
        <v>0.982875231526721</v>
      </c>
      <c r="Q128">
        <f t="shared" si="9"/>
        <v>1</v>
      </c>
      <c r="R128">
        <f t="shared" si="10"/>
        <v>0</v>
      </c>
      <c r="S128">
        <f t="shared" si="11"/>
        <v>0.982875231526721</v>
      </c>
      <c r="T128">
        <f t="shared" si="12"/>
        <v>0.017273093109787</v>
      </c>
    </row>
    <row r="129" spans="1:20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-2.01943395056634</v>
      </c>
      <c r="P129">
        <f t="shared" si="8"/>
        <v>0.117177534281045</v>
      </c>
      <c r="Q129">
        <f t="shared" si="9"/>
        <v>0</v>
      </c>
      <c r="R129">
        <f t="shared" si="10"/>
        <v>1</v>
      </c>
      <c r="S129">
        <f t="shared" si="11"/>
        <v>0.117177534281045</v>
      </c>
      <c r="T129">
        <f t="shared" si="12"/>
        <v>2.14406510723533</v>
      </c>
    </row>
    <row r="130" spans="1:20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</v>
      </c>
      <c r="P130">
        <f t="shared" si="8"/>
        <v>0.0332807683817666</v>
      </c>
      <c r="Q130">
        <f t="shared" si="9"/>
        <v>0</v>
      </c>
      <c r="R130">
        <f t="shared" si="10"/>
        <v>0</v>
      </c>
      <c r="S130">
        <f t="shared" si="11"/>
        <v>0.966719231618233</v>
      </c>
      <c r="T130">
        <f t="shared" si="12"/>
        <v>0.0338471756179825</v>
      </c>
    </row>
    <row r="131" spans="1:20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</v>
      </c>
      <c r="P131">
        <f t="shared" si="8"/>
        <v>0.996579101301233</v>
      </c>
      <c r="Q131">
        <f t="shared" si="9"/>
        <v>1</v>
      </c>
      <c r="R131">
        <f t="shared" si="10"/>
        <v>0</v>
      </c>
      <c r="S131">
        <f t="shared" si="11"/>
        <v>0.996579101301233</v>
      </c>
      <c r="T131">
        <f t="shared" si="12"/>
        <v>0.00342676335146256</v>
      </c>
    </row>
    <row r="132" spans="1:20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</v>
      </c>
      <c r="P132">
        <f t="shared" si="8"/>
        <v>0.958818928026087</v>
      </c>
      <c r="Q132">
        <f t="shared" si="9"/>
        <v>1</v>
      </c>
      <c r="R132">
        <f t="shared" si="10"/>
        <v>0</v>
      </c>
      <c r="S132">
        <f t="shared" si="11"/>
        <v>0.958818928026087</v>
      </c>
      <c r="T132">
        <f t="shared" si="12"/>
        <v>0.0420530352462127</v>
      </c>
    </row>
    <row r="133" spans="1:20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-3.45848931143512</v>
      </c>
      <c r="P133">
        <f t="shared" si="8"/>
        <v>0.0305166959460336</v>
      </c>
      <c r="Q133">
        <f t="shared" si="9"/>
        <v>0</v>
      </c>
      <c r="R133">
        <f t="shared" si="10"/>
        <v>0</v>
      </c>
      <c r="S133">
        <f t="shared" si="11"/>
        <v>0.969483304053966</v>
      </c>
      <c r="T133">
        <f t="shared" si="12"/>
        <v>0.0309920256401188</v>
      </c>
    </row>
    <row r="134" spans="1:20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</v>
      </c>
      <c r="P134">
        <f t="shared" si="8"/>
        <v>0.0244163686911542</v>
      </c>
      <c r="Q134">
        <f t="shared" si="9"/>
        <v>0</v>
      </c>
      <c r="R134">
        <f t="shared" si="10"/>
        <v>0</v>
      </c>
      <c r="S134">
        <f t="shared" si="11"/>
        <v>0.975583631308846</v>
      </c>
      <c r="T134">
        <f t="shared" si="12"/>
        <v>0.0247193908573392</v>
      </c>
    </row>
    <row r="135" spans="1:20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SUMPRODUCT(A$4:M$4,A135:M135)+N$4</f>
        <v>0.175966149883265</v>
      </c>
      <c r="P135">
        <f t="shared" ref="P135:P198" si="14">1/(1+EXP(0-O135))</f>
        <v>0.543878374710603</v>
      </c>
      <c r="Q135">
        <f t="shared" ref="Q135:Q198" si="15">IF(P135&lt;=0.5,0,1)</f>
        <v>1</v>
      </c>
      <c r="R135">
        <f t="shared" ref="R135:R198" si="16">IF(N135=Q135,0,1)</f>
        <v>1</v>
      </c>
      <c r="S135">
        <f t="shared" ref="S135:S198" si="17">IF(N135=1,P135,1-P135)</f>
        <v>0.456121625289397</v>
      </c>
      <c r="T135">
        <f t="shared" ref="T135:T198" si="18">IF(S135=0,1000000,-LN(S135))</f>
        <v>0.784995782905903</v>
      </c>
    </row>
    <row r="136" spans="1:20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0.328321052287776</v>
      </c>
      <c r="P136">
        <f t="shared" si="14"/>
        <v>0.58135080701215</v>
      </c>
      <c r="Q136">
        <f t="shared" si="15"/>
        <v>1</v>
      </c>
      <c r="R136">
        <f t="shared" si="16"/>
        <v>1</v>
      </c>
      <c r="S136">
        <f t="shared" si="17"/>
        <v>0.41864919298785</v>
      </c>
      <c r="T136">
        <f t="shared" si="18"/>
        <v>0.870721957987084</v>
      </c>
    </row>
    <row r="137" spans="1:20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</v>
      </c>
      <c r="P137">
        <f t="shared" si="14"/>
        <v>0.0370937371536408</v>
      </c>
      <c r="Q137">
        <f t="shared" si="15"/>
        <v>0</v>
      </c>
      <c r="R137">
        <f t="shared" si="16"/>
        <v>0</v>
      </c>
      <c r="S137">
        <f t="shared" si="17"/>
        <v>0.962906262846359</v>
      </c>
      <c r="T137">
        <f t="shared" si="18"/>
        <v>0.037799210606714</v>
      </c>
    </row>
    <row r="138" spans="1:20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-0.634270301797705</v>
      </c>
      <c r="P138">
        <f t="shared" si="14"/>
        <v>0.346542891418189</v>
      </c>
      <c r="Q138">
        <f t="shared" si="15"/>
        <v>0</v>
      </c>
      <c r="R138">
        <f t="shared" si="16"/>
        <v>0</v>
      </c>
      <c r="S138">
        <f t="shared" si="17"/>
        <v>0.653457108581811</v>
      </c>
      <c r="T138">
        <f t="shared" si="18"/>
        <v>0.425478381458496</v>
      </c>
    </row>
    <row r="139" spans="1:20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</v>
      </c>
      <c r="P139">
        <f t="shared" si="14"/>
        <v>0.0309310717584169</v>
      </c>
      <c r="Q139">
        <f t="shared" si="15"/>
        <v>0</v>
      </c>
      <c r="R139">
        <f t="shared" si="16"/>
        <v>0</v>
      </c>
      <c r="S139">
        <f t="shared" si="17"/>
        <v>0.969068928241583</v>
      </c>
      <c r="T139">
        <f t="shared" si="18"/>
        <v>0.0314195362449827</v>
      </c>
    </row>
    <row r="140" spans="1:20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-2.82317617618384</v>
      </c>
      <c r="P140">
        <f t="shared" si="14"/>
        <v>0.0560845524745396</v>
      </c>
      <c r="Q140">
        <f t="shared" si="15"/>
        <v>0</v>
      </c>
      <c r="R140">
        <f t="shared" si="16"/>
        <v>0</v>
      </c>
      <c r="S140">
        <f t="shared" si="17"/>
        <v>0.94391544752546</v>
      </c>
      <c r="T140">
        <f t="shared" si="18"/>
        <v>0.0577186851474164</v>
      </c>
    </row>
    <row r="141" spans="1:20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2.71151966325364</v>
      </c>
      <c r="P141">
        <f t="shared" si="14"/>
        <v>0.937702980492329</v>
      </c>
      <c r="Q141">
        <f t="shared" si="15"/>
        <v>1</v>
      </c>
      <c r="R141">
        <f t="shared" si="16"/>
        <v>0</v>
      </c>
      <c r="S141">
        <f t="shared" si="17"/>
        <v>0.937702980492329</v>
      </c>
      <c r="T141">
        <f t="shared" si="18"/>
        <v>0.064322032047874</v>
      </c>
    </row>
    <row r="142" spans="1:20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2.02598389664648</v>
      </c>
      <c r="P142">
        <f t="shared" si="14"/>
        <v>0.883498340577488</v>
      </c>
      <c r="Q142">
        <f t="shared" si="15"/>
        <v>1</v>
      </c>
      <c r="R142">
        <f t="shared" si="16"/>
        <v>0</v>
      </c>
      <c r="S142">
        <f t="shared" si="17"/>
        <v>0.883498340577488</v>
      </c>
      <c r="T142">
        <f t="shared" si="18"/>
        <v>0.123865865461289</v>
      </c>
    </row>
    <row r="143" spans="1:20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1.80515855412611</v>
      </c>
      <c r="P143">
        <f t="shared" si="14"/>
        <v>0.858775723090147</v>
      </c>
      <c r="Q143">
        <f t="shared" si="15"/>
        <v>1</v>
      </c>
      <c r="R143">
        <f t="shared" si="16"/>
        <v>0</v>
      </c>
      <c r="S143">
        <f t="shared" si="17"/>
        <v>0.858775723090147</v>
      </c>
      <c r="T143">
        <f t="shared" si="18"/>
        <v>0.152247481786307</v>
      </c>
    </row>
    <row r="144" spans="1:20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</v>
      </c>
      <c r="P144">
        <f t="shared" si="14"/>
        <v>0.116933240243128</v>
      </c>
      <c r="Q144">
        <f t="shared" si="15"/>
        <v>0</v>
      </c>
      <c r="R144">
        <f t="shared" si="16"/>
        <v>0</v>
      </c>
      <c r="S144">
        <f t="shared" si="17"/>
        <v>0.883066759756872</v>
      </c>
      <c r="T144">
        <f t="shared" si="18"/>
        <v>0.124354475622465</v>
      </c>
    </row>
    <row r="145" spans="1:20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-2.13490227111947</v>
      </c>
      <c r="P145">
        <f t="shared" si="14"/>
        <v>0.105750500174396</v>
      </c>
      <c r="Q145">
        <f t="shared" si="15"/>
        <v>0</v>
      </c>
      <c r="R145">
        <f t="shared" si="16"/>
        <v>0</v>
      </c>
      <c r="S145">
        <f t="shared" si="17"/>
        <v>0.894249499825604</v>
      </c>
      <c r="T145">
        <f t="shared" si="18"/>
        <v>0.111770460165946</v>
      </c>
    </row>
    <row r="146" spans="1:20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0.00798584963118021</v>
      </c>
      <c r="P146">
        <f t="shared" si="14"/>
        <v>0.501996451797697</v>
      </c>
      <c r="Q146">
        <f t="shared" si="15"/>
        <v>1</v>
      </c>
      <c r="R146">
        <f t="shared" si="16"/>
        <v>0</v>
      </c>
      <c r="S146">
        <f t="shared" si="17"/>
        <v>0.501996451797697</v>
      </c>
      <c r="T146">
        <f t="shared" si="18"/>
        <v>0.689162227447464</v>
      </c>
    </row>
    <row r="147" spans="1:20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-4.76557801174946</v>
      </c>
      <c r="P147">
        <f t="shared" si="14"/>
        <v>0.00844602044384271</v>
      </c>
      <c r="Q147">
        <f t="shared" si="15"/>
        <v>0</v>
      </c>
      <c r="R147">
        <f t="shared" si="16"/>
        <v>0</v>
      </c>
      <c r="S147">
        <f t="shared" si="17"/>
        <v>0.991553979556157</v>
      </c>
      <c r="T147">
        <f t="shared" si="18"/>
        <v>0.0084818901883735</v>
      </c>
    </row>
    <row r="148" spans="1:20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1.52213259468011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0.197412086617557</v>
      </c>
    </row>
    <row r="149" spans="1:20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0.499684914630993</v>
      </c>
      <c r="P149">
        <f t="shared" si="14"/>
        <v>0.622385282113895</v>
      </c>
      <c r="Q149">
        <f t="shared" si="15"/>
        <v>1</v>
      </c>
      <c r="R149">
        <f t="shared" si="16"/>
        <v>1</v>
      </c>
      <c r="S149">
        <f t="shared" si="17"/>
        <v>0.377614717886105</v>
      </c>
      <c r="T149">
        <f t="shared" si="18"/>
        <v>0.973880868017785</v>
      </c>
    </row>
    <row r="150" spans="1:20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</v>
      </c>
      <c r="P150">
        <f t="shared" si="14"/>
        <v>0.0614136309865468</v>
      </c>
      <c r="Q150">
        <f t="shared" si="15"/>
        <v>0</v>
      </c>
      <c r="R150">
        <f t="shared" si="16"/>
        <v>1</v>
      </c>
      <c r="S150">
        <f t="shared" si="17"/>
        <v>0.0614136309865468</v>
      </c>
      <c r="T150">
        <f t="shared" si="18"/>
        <v>2.79012346542985</v>
      </c>
    </row>
    <row r="151" spans="1:20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</v>
      </c>
      <c r="P151">
        <f t="shared" si="14"/>
        <v>0.995279924502733</v>
      </c>
      <c r="Q151">
        <f t="shared" si="15"/>
        <v>1</v>
      </c>
      <c r="R151">
        <f t="shared" si="16"/>
        <v>0</v>
      </c>
      <c r="S151">
        <f t="shared" si="17"/>
        <v>0.995279924502733</v>
      </c>
      <c r="T151">
        <f t="shared" si="18"/>
        <v>0.0047312502312089</v>
      </c>
    </row>
    <row r="152" spans="1:20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-3.06856045070142</v>
      </c>
      <c r="P152">
        <f t="shared" si="14"/>
        <v>0.0444228956794437</v>
      </c>
      <c r="Q152">
        <f t="shared" si="15"/>
        <v>0</v>
      </c>
      <c r="R152">
        <f t="shared" si="16"/>
        <v>0</v>
      </c>
      <c r="S152">
        <f t="shared" si="17"/>
        <v>0.955577104320556</v>
      </c>
      <c r="T152">
        <f t="shared" si="18"/>
        <v>0.0454398232978877</v>
      </c>
    </row>
    <row r="153" spans="1:20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</v>
      </c>
      <c r="P153">
        <f t="shared" si="14"/>
        <v>0.0870352067366277</v>
      </c>
      <c r="Q153">
        <f t="shared" si="15"/>
        <v>0</v>
      </c>
      <c r="R153">
        <f t="shared" si="16"/>
        <v>0</v>
      </c>
      <c r="S153">
        <f t="shared" si="17"/>
        <v>0.912964793263372</v>
      </c>
      <c r="T153">
        <f t="shared" si="18"/>
        <v>0.0910579607261161</v>
      </c>
    </row>
    <row r="154" spans="1:20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-2.89013844534805</v>
      </c>
      <c r="P154">
        <f t="shared" si="14"/>
        <v>0.0526432134743372</v>
      </c>
      <c r="Q154">
        <f t="shared" si="15"/>
        <v>0</v>
      </c>
      <c r="R154">
        <f t="shared" si="16"/>
        <v>0</v>
      </c>
      <c r="S154">
        <f t="shared" si="17"/>
        <v>0.947356786525663</v>
      </c>
      <c r="T154">
        <f t="shared" si="18"/>
        <v>0.0540795022352647</v>
      </c>
    </row>
    <row r="155" spans="1:20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</v>
      </c>
      <c r="P155">
        <f t="shared" si="14"/>
        <v>0.126395421723245</v>
      </c>
      <c r="Q155">
        <f t="shared" si="15"/>
        <v>0</v>
      </c>
      <c r="R155">
        <f t="shared" si="16"/>
        <v>0</v>
      </c>
      <c r="S155">
        <f t="shared" si="17"/>
        <v>0.873604578276755</v>
      </c>
      <c r="T155">
        <f t="shared" si="18"/>
        <v>0.135127433303815</v>
      </c>
    </row>
    <row r="156" spans="1:20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</v>
      </c>
      <c r="P156">
        <f t="shared" si="14"/>
        <v>0.168286700138884</v>
      </c>
      <c r="Q156">
        <f t="shared" si="15"/>
        <v>0</v>
      </c>
      <c r="R156">
        <f t="shared" si="16"/>
        <v>0</v>
      </c>
      <c r="S156">
        <f t="shared" si="17"/>
        <v>0.831713299861116</v>
      </c>
      <c r="T156">
        <f t="shared" si="18"/>
        <v>0.184267489059309</v>
      </c>
    </row>
    <row r="157" spans="1:20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0.116394113500019</v>
      </c>
      <c r="P157">
        <f t="shared" si="14"/>
        <v>0.529065721576088</v>
      </c>
      <c r="Q157">
        <f t="shared" si="15"/>
        <v>1</v>
      </c>
      <c r="R157">
        <f t="shared" si="16"/>
        <v>1</v>
      </c>
      <c r="S157">
        <f t="shared" si="17"/>
        <v>0.470934278423912</v>
      </c>
      <c r="T157">
        <f t="shared" si="18"/>
        <v>0.753036730956772</v>
      </c>
    </row>
    <row r="158" spans="1:20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</v>
      </c>
      <c r="P158">
        <f t="shared" si="14"/>
        <v>0.985057483479204</v>
      </c>
      <c r="Q158">
        <f t="shared" si="15"/>
        <v>1</v>
      </c>
      <c r="R158">
        <f t="shared" si="16"/>
        <v>0</v>
      </c>
      <c r="S158">
        <f t="shared" si="17"/>
        <v>0.985057483479204</v>
      </c>
      <c r="T158">
        <f t="shared" si="18"/>
        <v>0.0150552806507242</v>
      </c>
    </row>
    <row r="159" spans="1:20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3.43761986184828</v>
      </c>
      <c r="P159">
        <f t="shared" si="14"/>
        <v>0.968859785960485</v>
      </c>
      <c r="Q159">
        <f t="shared" si="15"/>
        <v>1</v>
      </c>
      <c r="R159">
        <f t="shared" si="16"/>
        <v>0</v>
      </c>
      <c r="S159">
        <f t="shared" si="17"/>
        <v>0.968859785960485</v>
      </c>
      <c r="T159">
        <f t="shared" si="18"/>
        <v>0.0316353772925687</v>
      </c>
    </row>
    <row r="160" spans="1:20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4.79289553645879</v>
      </c>
      <c r="P160">
        <f t="shared" si="14"/>
        <v>0.991779710070258</v>
      </c>
      <c r="Q160">
        <f t="shared" si="15"/>
        <v>1</v>
      </c>
      <c r="R160">
        <f t="shared" si="16"/>
        <v>0</v>
      </c>
      <c r="S160">
        <f t="shared" si="17"/>
        <v>0.991779710070258</v>
      </c>
      <c r="T160">
        <f t="shared" si="18"/>
        <v>0.00825426281910538</v>
      </c>
    </row>
    <row r="161" spans="1:20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1.10544640180851</v>
      </c>
      <c r="P161">
        <f t="shared" si="14"/>
        <v>0.751279205675962</v>
      </c>
      <c r="Q161">
        <f t="shared" si="15"/>
        <v>1</v>
      </c>
      <c r="R161">
        <f t="shared" si="16"/>
        <v>0</v>
      </c>
      <c r="S161">
        <f t="shared" si="17"/>
        <v>0.751279205675962</v>
      </c>
      <c r="T161">
        <f t="shared" si="18"/>
        <v>0.285977917780606</v>
      </c>
    </row>
    <row r="162" spans="1:20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</v>
      </c>
      <c r="P162">
        <f t="shared" si="14"/>
        <v>0.916505880063633</v>
      </c>
      <c r="Q162">
        <f t="shared" si="15"/>
        <v>1</v>
      </c>
      <c r="R162">
        <f t="shared" si="16"/>
        <v>0</v>
      </c>
      <c r="S162">
        <f t="shared" si="17"/>
        <v>0.916505880063633</v>
      </c>
      <c r="T162">
        <f t="shared" si="18"/>
        <v>0.0871867959415799</v>
      </c>
    </row>
    <row r="163" spans="1:20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3.58073778843314</v>
      </c>
      <c r="P163">
        <f t="shared" si="14"/>
        <v>0.972899741994038</v>
      </c>
      <c r="Q163">
        <f t="shared" si="15"/>
        <v>1</v>
      </c>
      <c r="R163">
        <f t="shared" si="16"/>
        <v>0</v>
      </c>
      <c r="S163">
        <f t="shared" si="17"/>
        <v>0.972899741994038</v>
      </c>
      <c r="T163">
        <f t="shared" si="18"/>
        <v>0.0274742421934737</v>
      </c>
    </row>
    <row r="164" spans="1:20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</v>
      </c>
      <c r="P164">
        <f t="shared" si="14"/>
        <v>0.57388083506042</v>
      </c>
      <c r="Q164">
        <f t="shared" si="15"/>
        <v>1</v>
      </c>
      <c r="R164">
        <f t="shared" si="16"/>
        <v>1</v>
      </c>
      <c r="S164">
        <f t="shared" si="17"/>
        <v>0.42611916493958</v>
      </c>
      <c r="T164">
        <f t="shared" si="18"/>
        <v>0.853036241924763</v>
      </c>
    </row>
    <row r="165" spans="1:20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</v>
      </c>
      <c r="P165">
        <f t="shared" si="14"/>
        <v>0.0318160543113895</v>
      </c>
      <c r="Q165">
        <f t="shared" si="15"/>
        <v>0</v>
      </c>
      <c r="R165">
        <f t="shared" si="16"/>
        <v>0</v>
      </c>
      <c r="S165">
        <f t="shared" si="17"/>
        <v>0.968183945688611</v>
      </c>
      <c r="T165">
        <f t="shared" si="18"/>
        <v>0.0323331832204948</v>
      </c>
    </row>
    <row r="166" spans="1:20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3.15080000209859</v>
      </c>
      <c r="P166">
        <f t="shared" si="14"/>
        <v>0.958940232540116</v>
      </c>
      <c r="Q166">
        <f t="shared" si="15"/>
        <v>1</v>
      </c>
      <c r="R166">
        <f t="shared" si="16"/>
        <v>0</v>
      </c>
      <c r="S166">
        <f t="shared" si="17"/>
        <v>0.958940232540116</v>
      </c>
      <c r="T166">
        <f t="shared" si="18"/>
        <v>0.0419265287310194</v>
      </c>
    </row>
    <row r="167" spans="1:20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-3.39288966646854</v>
      </c>
      <c r="P167">
        <f t="shared" si="14"/>
        <v>0.0325184206758141</v>
      </c>
      <c r="Q167">
        <f t="shared" si="15"/>
        <v>0</v>
      </c>
      <c r="R167">
        <f t="shared" si="16"/>
        <v>0</v>
      </c>
      <c r="S167">
        <f t="shared" si="17"/>
        <v>0.967481579324186</v>
      </c>
      <c r="T167">
        <f t="shared" si="18"/>
        <v>0.0330588937176588</v>
      </c>
    </row>
    <row r="168" spans="1:20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-1.85843999480791</v>
      </c>
      <c r="P168">
        <f t="shared" si="14"/>
        <v>0.134884986896699</v>
      </c>
      <c r="Q168">
        <f t="shared" si="15"/>
        <v>0</v>
      </c>
      <c r="R168">
        <f t="shared" si="16"/>
        <v>0</v>
      </c>
      <c r="S168">
        <f t="shared" si="17"/>
        <v>0.865115013103301</v>
      </c>
      <c r="T168">
        <f t="shared" si="18"/>
        <v>0.144892817763867</v>
      </c>
    </row>
    <row r="169" spans="1:20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</v>
      </c>
      <c r="P169">
        <f t="shared" si="14"/>
        <v>0.221317161780198</v>
      </c>
      <c r="Q169">
        <f t="shared" si="15"/>
        <v>0</v>
      </c>
      <c r="R169">
        <f t="shared" si="16"/>
        <v>0</v>
      </c>
      <c r="S169">
        <f t="shared" si="17"/>
        <v>0.778682838219802</v>
      </c>
      <c r="T169">
        <f t="shared" si="18"/>
        <v>0.250151455656055</v>
      </c>
    </row>
    <row r="170" spans="1:20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0.0760461726020099</v>
      </c>
      <c r="P170">
        <f t="shared" si="14"/>
        <v>0.519002386434043</v>
      </c>
      <c r="Q170">
        <f t="shared" si="15"/>
        <v>1</v>
      </c>
      <c r="R170">
        <f t="shared" si="16"/>
        <v>1</v>
      </c>
      <c r="S170">
        <f t="shared" si="17"/>
        <v>0.480997613565957</v>
      </c>
      <c r="T170">
        <f t="shared" si="18"/>
        <v>0.731892970290019</v>
      </c>
    </row>
    <row r="171" spans="1:20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</v>
      </c>
      <c r="P171">
        <f t="shared" si="14"/>
        <v>0.0835954262438368</v>
      </c>
      <c r="Q171">
        <f t="shared" si="15"/>
        <v>0</v>
      </c>
      <c r="R171">
        <f t="shared" si="16"/>
        <v>0</v>
      </c>
      <c r="S171">
        <f t="shared" si="17"/>
        <v>0.916404573756163</v>
      </c>
      <c r="T171">
        <f t="shared" si="18"/>
        <v>0.0872973374111452</v>
      </c>
    </row>
    <row r="172" spans="1:20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1.35623569003397</v>
      </c>
      <c r="P172">
        <f t="shared" si="14"/>
        <v>0.795147217546934</v>
      </c>
      <c r="Q172">
        <f t="shared" si="15"/>
        <v>1</v>
      </c>
      <c r="R172">
        <f t="shared" si="16"/>
        <v>0</v>
      </c>
      <c r="S172">
        <f t="shared" si="17"/>
        <v>0.795147217546934</v>
      </c>
      <c r="T172">
        <f t="shared" si="18"/>
        <v>0.229228002167057</v>
      </c>
    </row>
    <row r="173" spans="1:20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</v>
      </c>
      <c r="P173">
        <f t="shared" si="14"/>
        <v>0.0171987588546508</v>
      </c>
      <c r="Q173">
        <f t="shared" si="15"/>
        <v>0</v>
      </c>
      <c r="R173">
        <f t="shared" si="16"/>
        <v>0</v>
      </c>
      <c r="S173">
        <f t="shared" si="17"/>
        <v>0.982801241145349</v>
      </c>
      <c r="T173">
        <f t="shared" si="18"/>
        <v>0.0173483754692548</v>
      </c>
    </row>
    <row r="174" spans="1:20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4.01137437719414</v>
      </c>
      <c r="P174">
        <f t="shared" si="14"/>
        <v>0.982213594716025</v>
      </c>
      <c r="Q174">
        <f t="shared" si="15"/>
        <v>1</v>
      </c>
      <c r="R174">
        <f t="shared" si="16"/>
        <v>0</v>
      </c>
      <c r="S174">
        <f t="shared" si="17"/>
        <v>0.982213594716025</v>
      </c>
      <c r="T174">
        <f t="shared" si="18"/>
        <v>0.0179464843853997</v>
      </c>
    </row>
    <row r="175" spans="1:20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2.13619514122108</v>
      </c>
      <c r="P175">
        <f t="shared" si="14"/>
        <v>0.894371700797097</v>
      </c>
      <c r="Q175">
        <f t="shared" si="15"/>
        <v>1</v>
      </c>
      <c r="R175">
        <f t="shared" si="16"/>
        <v>1</v>
      </c>
      <c r="S175">
        <f t="shared" si="17"/>
        <v>0.105628299202903</v>
      </c>
      <c r="T175">
        <f t="shared" si="18"/>
        <v>2.24782895873553</v>
      </c>
    </row>
    <row r="176" spans="1:20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</v>
      </c>
      <c r="P176">
        <f t="shared" si="14"/>
        <v>0.417312474304284</v>
      </c>
      <c r="Q176">
        <f t="shared" si="15"/>
        <v>0</v>
      </c>
      <c r="R176">
        <f t="shared" si="16"/>
        <v>1</v>
      </c>
      <c r="S176">
        <f t="shared" si="17"/>
        <v>0.417312474304284</v>
      </c>
      <c r="T176">
        <f t="shared" si="18"/>
        <v>0.87391999893833</v>
      </c>
    </row>
    <row r="177" spans="1:20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-0.897713753468865</v>
      </c>
      <c r="P177">
        <f t="shared" si="14"/>
        <v>0.289520548232396</v>
      </c>
      <c r="Q177">
        <f t="shared" si="15"/>
        <v>0</v>
      </c>
      <c r="R177">
        <f t="shared" si="16"/>
        <v>0</v>
      </c>
      <c r="S177">
        <f t="shared" si="17"/>
        <v>0.710479451767604</v>
      </c>
      <c r="T177">
        <f t="shared" si="18"/>
        <v>0.341815252668821</v>
      </c>
    </row>
    <row r="178" spans="1:20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3.87888627813804</v>
      </c>
      <c r="P178">
        <f t="shared" si="14"/>
        <v>0.979744913101086</v>
      </c>
      <c r="Q178">
        <f t="shared" si="15"/>
        <v>1</v>
      </c>
      <c r="R178">
        <f t="shared" si="16"/>
        <v>0</v>
      </c>
      <c r="S178">
        <f t="shared" si="17"/>
        <v>0.979744913101086</v>
      </c>
      <c r="T178">
        <f t="shared" si="18"/>
        <v>0.0204630339535523</v>
      </c>
    </row>
    <row r="179" spans="1:20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</v>
      </c>
      <c r="P179">
        <f t="shared" si="14"/>
        <v>0.990800567171826</v>
      </c>
      <c r="Q179">
        <f t="shared" si="15"/>
        <v>1</v>
      </c>
      <c r="R179">
        <f t="shared" si="16"/>
        <v>0</v>
      </c>
      <c r="S179">
        <f t="shared" si="17"/>
        <v>0.990800567171826</v>
      </c>
      <c r="T179">
        <f t="shared" si="18"/>
        <v>0.00924200892883847</v>
      </c>
    </row>
    <row r="180" spans="1:20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</v>
      </c>
      <c r="P180">
        <f t="shared" si="14"/>
        <v>0.882201870780304</v>
      </c>
      <c r="Q180">
        <f t="shared" si="15"/>
        <v>1</v>
      </c>
      <c r="R180">
        <f t="shared" si="16"/>
        <v>1</v>
      </c>
      <c r="S180">
        <f t="shared" si="17"/>
        <v>0.117798129219696</v>
      </c>
      <c r="T180">
        <f t="shared" si="18"/>
        <v>2.13878288887805</v>
      </c>
    </row>
    <row r="181" spans="1:20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</v>
      </c>
      <c r="P181">
        <f t="shared" si="14"/>
        <v>0.977703445068018</v>
      </c>
      <c r="Q181">
        <f t="shared" si="15"/>
        <v>1</v>
      </c>
      <c r="R181">
        <f t="shared" si="16"/>
        <v>0</v>
      </c>
      <c r="S181">
        <f t="shared" si="17"/>
        <v>0.977703445068018</v>
      </c>
      <c r="T181">
        <f t="shared" si="18"/>
        <v>0.0225488808314113</v>
      </c>
    </row>
    <row r="182" spans="1:20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-0.250330168083214</v>
      </c>
      <c r="P182">
        <f t="shared" si="14"/>
        <v>0.437742235164872</v>
      </c>
      <c r="Q182">
        <f t="shared" si="15"/>
        <v>0</v>
      </c>
      <c r="R182">
        <f t="shared" si="16"/>
        <v>0</v>
      </c>
      <c r="S182">
        <f t="shared" si="17"/>
        <v>0.562257764835128</v>
      </c>
      <c r="T182">
        <f t="shared" si="18"/>
        <v>0.575794877948828</v>
      </c>
    </row>
    <row r="183" spans="1:20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</v>
      </c>
      <c r="P183">
        <f t="shared" si="14"/>
        <v>0.638729715535892</v>
      </c>
      <c r="Q183">
        <f t="shared" si="15"/>
        <v>1</v>
      </c>
      <c r="R183">
        <f t="shared" si="16"/>
        <v>1</v>
      </c>
      <c r="S183">
        <f t="shared" si="17"/>
        <v>0.361270284464108</v>
      </c>
      <c r="T183">
        <f t="shared" si="18"/>
        <v>1.01812889036619</v>
      </c>
    </row>
    <row r="184" spans="1:20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0.64507392788818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0.421747662469883</v>
      </c>
    </row>
    <row r="185" spans="1:20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4.27303607313947</v>
      </c>
      <c r="P185">
        <f t="shared" si="14"/>
        <v>0.986252237715391</v>
      </c>
      <c r="Q185">
        <f t="shared" si="15"/>
        <v>1</v>
      </c>
      <c r="R185">
        <f t="shared" si="16"/>
        <v>0</v>
      </c>
      <c r="S185">
        <f t="shared" si="17"/>
        <v>0.986252237715391</v>
      </c>
      <c r="T185">
        <f t="shared" si="18"/>
        <v>0.0138431379116831</v>
      </c>
    </row>
    <row r="186" spans="1:20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</v>
      </c>
      <c r="P186">
        <f t="shared" si="14"/>
        <v>0.461427333292446</v>
      </c>
      <c r="Q186">
        <f t="shared" si="15"/>
        <v>0</v>
      </c>
      <c r="R186">
        <f t="shared" si="16"/>
        <v>0</v>
      </c>
      <c r="S186">
        <f t="shared" si="17"/>
        <v>0.538572666707554</v>
      </c>
      <c r="T186">
        <f t="shared" si="18"/>
        <v>0.618832848671544</v>
      </c>
    </row>
    <row r="187" spans="1:20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</v>
      </c>
      <c r="P187">
        <f t="shared" si="14"/>
        <v>0.876457078745672</v>
      </c>
      <c r="Q187">
        <f t="shared" si="15"/>
        <v>1</v>
      </c>
      <c r="R187">
        <f t="shared" si="16"/>
        <v>1</v>
      </c>
      <c r="S187">
        <f t="shared" si="17"/>
        <v>0.123542921254328</v>
      </c>
      <c r="T187">
        <f t="shared" si="18"/>
        <v>2.09116664277145</v>
      </c>
    </row>
    <row r="188" spans="1:20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-1.83074454499636</v>
      </c>
      <c r="P188">
        <f t="shared" si="14"/>
        <v>0.138149600566762</v>
      </c>
      <c r="Q188">
        <f t="shared" si="15"/>
        <v>0</v>
      </c>
      <c r="R188">
        <f t="shared" si="16"/>
        <v>1</v>
      </c>
      <c r="S188">
        <f t="shared" si="17"/>
        <v>0.138149600566762</v>
      </c>
      <c r="T188">
        <f t="shared" si="18"/>
        <v>1.97941811891793</v>
      </c>
    </row>
    <row r="189" spans="1:20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</v>
      </c>
      <c r="P189">
        <f t="shared" si="14"/>
        <v>0.0883317942932319</v>
      </c>
      <c r="Q189">
        <f t="shared" si="15"/>
        <v>0</v>
      </c>
      <c r="R189">
        <f t="shared" si="16"/>
        <v>0</v>
      </c>
      <c r="S189">
        <f t="shared" si="17"/>
        <v>0.911668205706768</v>
      </c>
      <c r="T189">
        <f t="shared" si="18"/>
        <v>0.0924791646346013</v>
      </c>
    </row>
    <row r="190" spans="1:20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</v>
      </c>
      <c r="P190">
        <f t="shared" si="14"/>
        <v>0.173864298495819</v>
      </c>
      <c r="Q190">
        <f t="shared" si="15"/>
        <v>0</v>
      </c>
      <c r="R190">
        <f t="shared" si="16"/>
        <v>0</v>
      </c>
      <c r="S190">
        <f t="shared" si="17"/>
        <v>0.826135701504181</v>
      </c>
      <c r="T190">
        <f t="shared" si="18"/>
        <v>0.19099623141955</v>
      </c>
    </row>
    <row r="191" spans="1:20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</v>
      </c>
      <c r="P191">
        <f t="shared" si="14"/>
        <v>0.990860614046469</v>
      </c>
      <c r="Q191">
        <f t="shared" si="15"/>
        <v>1</v>
      </c>
      <c r="R191">
        <f t="shared" si="16"/>
        <v>0</v>
      </c>
      <c r="S191">
        <f t="shared" si="17"/>
        <v>0.990860614046469</v>
      </c>
      <c r="T191">
        <f t="shared" si="18"/>
        <v>0.00918140636445388</v>
      </c>
    </row>
    <row r="192" spans="1:20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</v>
      </c>
      <c r="P192">
        <f t="shared" si="14"/>
        <v>0.743265952131779</v>
      </c>
      <c r="Q192">
        <f t="shared" si="15"/>
        <v>1</v>
      </c>
      <c r="R192">
        <f t="shared" si="16"/>
        <v>0</v>
      </c>
      <c r="S192">
        <f t="shared" si="17"/>
        <v>0.743265952131779</v>
      </c>
      <c r="T192">
        <f t="shared" si="18"/>
        <v>0.296701354661153</v>
      </c>
    </row>
    <row r="193" spans="1:20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</v>
      </c>
      <c r="P193">
        <f t="shared" si="14"/>
        <v>0.990473634718202</v>
      </c>
      <c r="Q193">
        <f t="shared" si="15"/>
        <v>1</v>
      </c>
      <c r="R193">
        <f t="shared" si="16"/>
        <v>0</v>
      </c>
      <c r="S193">
        <f t="shared" si="17"/>
        <v>0.990473634718202</v>
      </c>
      <c r="T193">
        <f t="shared" si="18"/>
        <v>0.00957203135206447</v>
      </c>
    </row>
    <row r="194" spans="1:20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-2.72637699310268</v>
      </c>
      <c r="P194">
        <f t="shared" si="14"/>
        <v>0.0614347356065808</v>
      </c>
      <c r="Q194">
        <f t="shared" si="15"/>
        <v>0</v>
      </c>
      <c r="R194">
        <f t="shared" si="16"/>
        <v>0</v>
      </c>
      <c r="S194">
        <f t="shared" si="17"/>
        <v>0.938565264393419</v>
      </c>
      <c r="T194">
        <f t="shared" si="18"/>
        <v>0.0634028841977226</v>
      </c>
    </row>
    <row r="195" spans="1:20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7.17071562563029</v>
      </c>
      <c r="P195">
        <f t="shared" si="14"/>
        <v>0.999231818175862</v>
      </c>
      <c r="Q195">
        <f t="shared" si="15"/>
        <v>1</v>
      </c>
      <c r="R195">
        <f t="shared" si="16"/>
        <v>0</v>
      </c>
      <c r="S195">
        <f t="shared" si="17"/>
        <v>0.999231818175862</v>
      </c>
      <c r="T195">
        <f t="shared" si="18"/>
        <v>0.000768477026985194</v>
      </c>
    </row>
    <row r="196" spans="1:20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</v>
      </c>
      <c r="P196">
        <f t="shared" si="14"/>
        <v>0.888211386286258</v>
      </c>
      <c r="Q196">
        <f t="shared" si="15"/>
        <v>1</v>
      </c>
      <c r="R196">
        <f t="shared" si="16"/>
        <v>0</v>
      </c>
      <c r="S196">
        <f t="shared" si="17"/>
        <v>0.888211386286258</v>
      </c>
      <c r="T196">
        <f t="shared" si="18"/>
        <v>0.118545516699146</v>
      </c>
    </row>
    <row r="197" spans="1:20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-2.01155792457243</v>
      </c>
      <c r="P197">
        <f t="shared" si="14"/>
        <v>0.117994744988636</v>
      </c>
      <c r="Q197">
        <f t="shared" si="15"/>
        <v>0</v>
      </c>
      <c r="R197">
        <f t="shared" si="16"/>
        <v>0</v>
      </c>
      <c r="S197">
        <f t="shared" si="17"/>
        <v>0.882005255011364</v>
      </c>
      <c r="T197">
        <f t="shared" si="18"/>
        <v>0.125557264930324</v>
      </c>
    </row>
    <row r="198" spans="1:20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</v>
      </c>
      <c r="P198">
        <f t="shared" si="14"/>
        <v>0.950538607778619</v>
      </c>
      <c r="Q198">
        <f t="shared" si="15"/>
        <v>1</v>
      </c>
      <c r="R198">
        <f t="shared" si="16"/>
        <v>0</v>
      </c>
      <c r="S198">
        <f t="shared" si="17"/>
        <v>0.950538607778619</v>
      </c>
      <c r="T198">
        <f t="shared" si="18"/>
        <v>0.0507264994896897</v>
      </c>
    </row>
    <row r="199" spans="1:20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SUMPRODUCT(A$4:M$4,A199:M199)+N$4</f>
        <v>-1.21992917253113</v>
      </c>
      <c r="P199">
        <f t="shared" ref="P199:P262" si="20">1/(1+EXP(0-O199))</f>
        <v>0.227948915132304</v>
      </c>
      <c r="Q199">
        <f t="shared" ref="Q199:Q262" si="21">IF(P199&lt;=0.5,0,1)</f>
        <v>0</v>
      </c>
      <c r="R199">
        <f t="shared" ref="R199:R262" si="22">IF(N199=Q199,0,1)</f>
        <v>0</v>
      </c>
      <c r="S199">
        <f t="shared" ref="S199:S262" si="23">IF(N199=1,P199,1-P199)</f>
        <v>0.772051084867696</v>
      </c>
      <c r="T199">
        <f t="shared" ref="T199:T262" si="24">IF(S199=0,1000000,-LN(S199))</f>
        <v>0.258704559038224</v>
      </c>
    </row>
    <row r="200" spans="1:20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</v>
      </c>
      <c r="P200">
        <f t="shared" si="20"/>
        <v>0.329087595307432</v>
      </c>
      <c r="Q200">
        <f t="shared" si="21"/>
        <v>0</v>
      </c>
      <c r="R200">
        <f t="shared" si="22"/>
        <v>0</v>
      </c>
      <c r="S200">
        <f t="shared" si="23"/>
        <v>0.670912404692568</v>
      </c>
      <c r="T200">
        <f t="shared" si="24"/>
        <v>0.399116694954523</v>
      </c>
    </row>
    <row r="201" spans="1:20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-4.29824049379719</v>
      </c>
      <c r="P201">
        <f t="shared" si="20"/>
        <v>0.0134101767805565</v>
      </c>
      <c r="Q201">
        <f t="shared" si="21"/>
        <v>0</v>
      </c>
      <c r="R201">
        <f t="shared" si="22"/>
        <v>0</v>
      </c>
      <c r="S201">
        <f t="shared" si="23"/>
        <v>0.986589823219443</v>
      </c>
      <c r="T201">
        <f t="shared" si="24"/>
        <v>0.0135009052372769</v>
      </c>
    </row>
    <row r="202" spans="1:20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-1.60008096883873</v>
      </c>
      <c r="P202">
        <f t="shared" si="20"/>
        <v>0.167970298658368</v>
      </c>
      <c r="Q202">
        <f t="shared" si="21"/>
        <v>0</v>
      </c>
      <c r="R202">
        <f t="shared" si="22"/>
        <v>1</v>
      </c>
      <c r="S202">
        <f t="shared" si="23"/>
        <v>0.167970298658368</v>
      </c>
      <c r="T202">
        <f t="shared" si="24"/>
        <v>1.78396810890892</v>
      </c>
    </row>
    <row r="203" spans="1:20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-3.05672739658227</v>
      </c>
      <c r="P203">
        <f t="shared" si="20"/>
        <v>0.0449279195586799</v>
      </c>
      <c r="Q203">
        <f t="shared" si="21"/>
        <v>0</v>
      </c>
      <c r="R203">
        <f t="shared" si="22"/>
        <v>0</v>
      </c>
      <c r="S203">
        <f t="shared" si="23"/>
        <v>0.95507208044132</v>
      </c>
      <c r="T203">
        <f t="shared" si="24"/>
        <v>0.045968464447739</v>
      </c>
    </row>
    <row r="204" spans="1:20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-0.678033054036324</v>
      </c>
      <c r="P204">
        <f t="shared" si="20"/>
        <v>0.336700445846321</v>
      </c>
      <c r="Q204">
        <f t="shared" si="21"/>
        <v>0</v>
      </c>
      <c r="R204">
        <f t="shared" si="22"/>
        <v>0</v>
      </c>
      <c r="S204">
        <f t="shared" si="23"/>
        <v>0.663299554153679</v>
      </c>
      <c r="T204">
        <f t="shared" si="24"/>
        <v>0.410528574614763</v>
      </c>
    </row>
    <row r="205" spans="1:20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-1.20587689177817</v>
      </c>
      <c r="P205">
        <f t="shared" si="20"/>
        <v>0.23043140036657</v>
      </c>
      <c r="Q205">
        <f t="shared" si="21"/>
        <v>0</v>
      </c>
      <c r="R205">
        <f t="shared" si="22"/>
        <v>0</v>
      </c>
      <c r="S205">
        <f t="shared" si="23"/>
        <v>0.76956859963343</v>
      </c>
      <c r="T205">
        <f t="shared" si="24"/>
        <v>0.261925181355132</v>
      </c>
    </row>
    <row r="206" spans="1:20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-1.34263379539496</v>
      </c>
      <c r="P206">
        <f t="shared" si="20"/>
        <v>0.20707726552654</v>
      </c>
      <c r="Q206">
        <f t="shared" si="21"/>
        <v>0</v>
      </c>
      <c r="R206">
        <f t="shared" si="22"/>
        <v>0</v>
      </c>
      <c r="S206">
        <f t="shared" si="23"/>
        <v>0.79292273447346</v>
      </c>
      <c r="T206">
        <f t="shared" si="24"/>
        <v>0.232029496554032</v>
      </c>
    </row>
    <row r="207" spans="1:20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</v>
      </c>
      <c r="P207">
        <f t="shared" si="20"/>
        <v>0.265771742327413</v>
      </c>
      <c r="Q207">
        <f t="shared" si="21"/>
        <v>0</v>
      </c>
      <c r="R207">
        <f t="shared" si="22"/>
        <v>0</v>
      </c>
      <c r="S207">
        <f t="shared" si="23"/>
        <v>0.734228257672587</v>
      </c>
      <c r="T207">
        <f t="shared" si="24"/>
        <v>0.308935320955614</v>
      </c>
    </row>
    <row r="208" spans="1:20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</v>
      </c>
      <c r="P208">
        <f t="shared" si="20"/>
        <v>0.998154954474305</v>
      </c>
      <c r="Q208">
        <f t="shared" si="21"/>
        <v>1</v>
      </c>
      <c r="R208">
        <f t="shared" si="22"/>
        <v>0</v>
      </c>
      <c r="S208">
        <f t="shared" si="23"/>
        <v>0.998154954474305</v>
      </c>
      <c r="T208">
        <f t="shared" si="24"/>
        <v>0.00184674971872235</v>
      </c>
    </row>
    <row r="209" spans="1:20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</v>
      </c>
      <c r="P209">
        <f t="shared" si="20"/>
        <v>0.995267906097772</v>
      </c>
      <c r="Q209">
        <f t="shared" si="21"/>
        <v>1</v>
      </c>
      <c r="R209">
        <f t="shared" si="22"/>
        <v>0</v>
      </c>
      <c r="S209">
        <f t="shared" si="23"/>
        <v>0.995267906097772</v>
      </c>
      <c r="T209">
        <f t="shared" si="24"/>
        <v>0.00474332570588595</v>
      </c>
    </row>
    <row r="210" spans="1:20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</v>
      </c>
      <c r="P210">
        <f t="shared" si="20"/>
        <v>0.929537656196265</v>
      </c>
      <c r="Q210">
        <f t="shared" si="21"/>
        <v>1</v>
      </c>
      <c r="R210">
        <f t="shared" si="22"/>
        <v>0</v>
      </c>
      <c r="S210">
        <f t="shared" si="23"/>
        <v>0.929537656196265</v>
      </c>
      <c r="T210">
        <f t="shared" si="24"/>
        <v>0.0730679603268076</v>
      </c>
    </row>
    <row r="211" spans="1:20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-2.85403593427243</v>
      </c>
      <c r="P211">
        <f t="shared" si="20"/>
        <v>0.0544730692066999</v>
      </c>
      <c r="Q211">
        <f t="shared" si="21"/>
        <v>0</v>
      </c>
      <c r="R211">
        <f t="shared" si="22"/>
        <v>0</v>
      </c>
      <c r="S211">
        <f t="shared" si="23"/>
        <v>0.9455269307933</v>
      </c>
      <c r="T211">
        <f t="shared" si="24"/>
        <v>0.0560129081657287</v>
      </c>
    </row>
    <row r="212" spans="1:20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-0.859308369417618</v>
      </c>
      <c r="P212">
        <f t="shared" si="20"/>
        <v>0.297483867356806</v>
      </c>
      <c r="Q212">
        <f t="shared" si="21"/>
        <v>0</v>
      </c>
      <c r="R212">
        <f t="shared" si="22"/>
        <v>1</v>
      </c>
      <c r="S212">
        <f t="shared" si="23"/>
        <v>0.297483867356806</v>
      </c>
      <c r="T212">
        <f t="shared" si="24"/>
        <v>1.21239528283889</v>
      </c>
    </row>
    <row r="213" spans="1:20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-4.12054651511829</v>
      </c>
      <c r="P213">
        <f t="shared" si="20"/>
        <v>0.0159762542974606</v>
      </c>
      <c r="Q213">
        <f t="shared" si="21"/>
        <v>0</v>
      </c>
      <c r="R213">
        <f t="shared" si="22"/>
        <v>0</v>
      </c>
      <c r="S213">
        <f t="shared" si="23"/>
        <v>0.984023745702539</v>
      </c>
      <c r="T213">
        <f t="shared" si="24"/>
        <v>0.0161052504095274</v>
      </c>
    </row>
    <row r="214" spans="1:20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</v>
      </c>
      <c r="P214">
        <f t="shared" si="20"/>
        <v>0.418120455368094</v>
      </c>
      <c r="Q214">
        <f t="shared" si="21"/>
        <v>0</v>
      </c>
      <c r="R214">
        <f t="shared" si="22"/>
        <v>1</v>
      </c>
      <c r="S214">
        <f t="shared" si="23"/>
        <v>0.418120455368094</v>
      </c>
      <c r="T214">
        <f t="shared" si="24"/>
        <v>0.871985717233526</v>
      </c>
    </row>
    <row r="215" spans="1:20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</v>
      </c>
      <c r="P215">
        <f t="shared" si="20"/>
        <v>0.262468582720003</v>
      </c>
      <c r="Q215">
        <f t="shared" si="21"/>
        <v>0</v>
      </c>
      <c r="R215">
        <f t="shared" si="22"/>
        <v>0</v>
      </c>
      <c r="S215">
        <f t="shared" si="23"/>
        <v>0.737531417279997</v>
      </c>
      <c r="T215">
        <f t="shared" si="24"/>
        <v>0.304446591973813</v>
      </c>
    </row>
    <row r="216" spans="1:20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2.24036748156584</v>
      </c>
      <c r="P216">
        <f t="shared" si="20"/>
        <v>0.903816409050869</v>
      </c>
      <c r="Q216">
        <f t="shared" si="21"/>
        <v>1</v>
      </c>
      <c r="R216">
        <f t="shared" si="22"/>
        <v>0</v>
      </c>
      <c r="S216">
        <f t="shared" si="23"/>
        <v>0.903816409050869</v>
      </c>
      <c r="T216">
        <f t="shared" si="24"/>
        <v>0.101129026548095</v>
      </c>
    </row>
    <row r="217" spans="1:20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-1.08798031839359</v>
      </c>
      <c r="P217">
        <f t="shared" si="20"/>
        <v>0.251998788362737</v>
      </c>
      <c r="Q217">
        <f t="shared" si="21"/>
        <v>0</v>
      </c>
      <c r="R217">
        <f t="shared" si="22"/>
        <v>1</v>
      </c>
      <c r="S217">
        <f t="shared" si="23"/>
        <v>0.251998788362737</v>
      </c>
      <c r="T217">
        <f t="shared" si="24"/>
        <v>1.37833099956665</v>
      </c>
    </row>
    <row r="218" spans="1:20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</v>
      </c>
      <c r="P218">
        <f t="shared" si="20"/>
        <v>0.219638695313501</v>
      </c>
      <c r="Q218">
        <f t="shared" si="21"/>
        <v>0</v>
      </c>
      <c r="R218">
        <f t="shared" si="22"/>
        <v>0</v>
      </c>
      <c r="S218">
        <f t="shared" si="23"/>
        <v>0.780361304686499</v>
      </c>
      <c r="T218">
        <f t="shared" si="24"/>
        <v>0.247998255411122</v>
      </c>
    </row>
    <row r="219" spans="1:20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</v>
      </c>
      <c r="P219">
        <f t="shared" si="20"/>
        <v>0.00506233668424703</v>
      </c>
      <c r="Q219">
        <f t="shared" si="21"/>
        <v>0</v>
      </c>
      <c r="R219">
        <f t="shared" si="22"/>
        <v>0</v>
      </c>
      <c r="S219">
        <f t="shared" si="23"/>
        <v>0.994937663315753</v>
      </c>
      <c r="T219">
        <f t="shared" si="24"/>
        <v>0.00507519372004999</v>
      </c>
    </row>
    <row r="220" spans="1:20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-0.740983503634163</v>
      </c>
      <c r="P220">
        <f t="shared" si="20"/>
        <v>0.322789116044127</v>
      </c>
      <c r="Q220">
        <f t="shared" si="21"/>
        <v>0</v>
      </c>
      <c r="R220">
        <f t="shared" si="22"/>
        <v>0</v>
      </c>
      <c r="S220">
        <f t="shared" si="23"/>
        <v>0.677210883955873</v>
      </c>
      <c r="T220">
        <f t="shared" si="24"/>
        <v>0.389772556856041</v>
      </c>
    </row>
    <row r="221" spans="1:20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1.34521370773302</v>
      </c>
      <c r="P221">
        <f t="shared" si="20"/>
        <v>0.793346026337713</v>
      </c>
      <c r="Q221">
        <f t="shared" si="21"/>
        <v>1</v>
      </c>
      <c r="R221">
        <f t="shared" si="22"/>
        <v>1</v>
      </c>
      <c r="S221">
        <f t="shared" si="23"/>
        <v>0.206653973662287</v>
      </c>
      <c r="T221">
        <f t="shared" si="24"/>
        <v>1.57670950926038</v>
      </c>
    </row>
    <row r="222" spans="1:20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</v>
      </c>
      <c r="P222">
        <f t="shared" si="20"/>
        <v>0.169503709877513</v>
      </c>
      <c r="Q222">
        <f t="shared" si="21"/>
        <v>0</v>
      </c>
      <c r="R222">
        <f t="shared" si="22"/>
        <v>0</v>
      </c>
      <c r="S222">
        <f t="shared" si="23"/>
        <v>0.830496290122487</v>
      </c>
      <c r="T222">
        <f t="shared" si="24"/>
        <v>0.18573181697972</v>
      </c>
    </row>
    <row r="223" spans="1:20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</v>
      </c>
      <c r="P223">
        <f t="shared" si="20"/>
        <v>0.061244078706456</v>
      </c>
      <c r="Q223">
        <f t="shared" si="21"/>
        <v>0</v>
      </c>
      <c r="R223">
        <f t="shared" si="22"/>
        <v>0</v>
      </c>
      <c r="S223">
        <f t="shared" si="23"/>
        <v>0.938755921293544</v>
      </c>
      <c r="T223">
        <f t="shared" si="24"/>
        <v>0.0631997682874203</v>
      </c>
    </row>
    <row r="224" spans="1:20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</v>
      </c>
      <c r="P224">
        <f t="shared" si="20"/>
        <v>0.0210878816419941</v>
      </c>
      <c r="Q224">
        <f t="shared" si="21"/>
        <v>0</v>
      </c>
      <c r="R224">
        <f t="shared" si="22"/>
        <v>0</v>
      </c>
      <c r="S224">
        <f t="shared" si="23"/>
        <v>0.978912118358006</v>
      </c>
      <c r="T224">
        <f t="shared" si="24"/>
        <v>0.0213134072245118</v>
      </c>
    </row>
    <row r="225" spans="1:20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-5.03993044143832</v>
      </c>
      <c r="P225">
        <f t="shared" si="20"/>
        <v>0.00643255301261594</v>
      </c>
      <c r="Q225">
        <f t="shared" si="21"/>
        <v>0</v>
      </c>
      <c r="R225">
        <f t="shared" si="22"/>
        <v>0</v>
      </c>
      <c r="S225">
        <f t="shared" si="23"/>
        <v>0.993567446987384</v>
      </c>
      <c r="T225">
        <f t="shared" si="24"/>
        <v>0.00645333103348811</v>
      </c>
    </row>
    <row r="226" spans="1:20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</v>
      </c>
      <c r="P226">
        <f t="shared" si="20"/>
        <v>0.995502223783097</v>
      </c>
      <c r="Q226">
        <f t="shared" si="21"/>
        <v>1</v>
      </c>
      <c r="R226">
        <f t="shared" si="22"/>
        <v>0</v>
      </c>
      <c r="S226">
        <f t="shared" si="23"/>
        <v>0.995502223783097</v>
      </c>
      <c r="T226">
        <f t="shared" si="24"/>
        <v>0.00450792164502459</v>
      </c>
    </row>
    <row r="227" spans="1:20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0.56598271356</v>
      </c>
      <c r="P227">
        <f t="shared" si="20"/>
        <v>0.637835691488406</v>
      </c>
      <c r="Q227">
        <f t="shared" si="21"/>
        <v>1</v>
      </c>
      <c r="R227">
        <f t="shared" si="22"/>
        <v>0</v>
      </c>
      <c r="S227">
        <f t="shared" si="23"/>
        <v>0.637835691488406</v>
      </c>
      <c r="T227">
        <f t="shared" si="24"/>
        <v>0.449674565657685</v>
      </c>
    </row>
    <row r="228" spans="1:20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</v>
      </c>
      <c r="P228">
        <f t="shared" si="20"/>
        <v>0.00663667939891508</v>
      </c>
      <c r="Q228">
        <f t="shared" si="21"/>
        <v>0</v>
      </c>
      <c r="R228">
        <f t="shared" si="22"/>
        <v>0</v>
      </c>
      <c r="S228">
        <f t="shared" si="23"/>
        <v>0.993363320601085</v>
      </c>
      <c r="T228">
        <f t="shared" si="24"/>
        <v>0.00665880008187883</v>
      </c>
    </row>
    <row r="229" spans="1:20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</v>
      </c>
      <c r="P229">
        <f t="shared" si="20"/>
        <v>0.115193181776452</v>
      </c>
      <c r="Q229">
        <f t="shared" si="21"/>
        <v>0</v>
      </c>
      <c r="R229">
        <f t="shared" si="22"/>
        <v>0</v>
      </c>
      <c r="S229">
        <f t="shared" si="23"/>
        <v>0.884806818223548</v>
      </c>
      <c r="T229">
        <f t="shared" si="24"/>
        <v>0.122385942294901</v>
      </c>
    </row>
    <row r="230" spans="1:20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</v>
      </c>
      <c r="P230">
        <f t="shared" si="20"/>
        <v>0.0962321047255114</v>
      </c>
      <c r="Q230">
        <f t="shared" si="21"/>
        <v>0</v>
      </c>
      <c r="R230">
        <f t="shared" si="22"/>
        <v>0</v>
      </c>
      <c r="S230">
        <f t="shared" si="23"/>
        <v>0.903767895274489</v>
      </c>
      <c r="T230">
        <f t="shared" si="24"/>
        <v>0.101182704571605</v>
      </c>
    </row>
    <row r="231" spans="1:20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</v>
      </c>
      <c r="P231">
        <f t="shared" si="20"/>
        <v>0.85528923819188</v>
      </c>
      <c r="Q231">
        <f t="shared" si="21"/>
        <v>1</v>
      </c>
      <c r="R231">
        <f t="shared" si="22"/>
        <v>0</v>
      </c>
      <c r="S231">
        <f t="shared" si="23"/>
        <v>0.85528923819188</v>
      </c>
      <c r="T231">
        <f t="shared" si="24"/>
        <v>0.156315576969732</v>
      </c>
    </row>
    <row r="232" spans="1:20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0.643609335919309</v>
      </c>
      <c r="P232">
        <f t="shared" si="20"/>
        <v>0.655568899568215</v>
      </c>
      <c r="Q232">
        <f t="shared" si="21"/>
        <v>1</v>
      </c>
      <c r="R232">
        <f t="shared" si="22"/>
        <v>0</v>
      </c>
      <c r="S232">
        <f t="shared" si="23"/>
        <v>0.655568899568215</v>
      </c>
      <c r="T232">
        <f t="shared" si="24"/>
        <v>0.422251871358163</v>
      </c>
    </row>
    <row r="233" spans="1:20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</v>
      </c>
      <c r="P233">
        <f t="shared" si="20"/>
        <v>0.050335238138125</v>
      </c>
      <c r="Q233">
        <f t="shared" si="21"/>
        <v>0</v>
      </c>
      <c r="R233">
        <f t="shared" si="22"/>
        <v>0</v>
      </c>
      <c r="S233">
        <f t="shared" si="23"/>
        <v>0.949664761861875</v>
      </c>
      <c r="T233">
        <f t="shared" si="24"/>
        <v>0.0516462389158014</v>
      </c>
    </row>
    <row r="234" spans="1:20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</v>
      </c>
      <c r="P234">
        <f t="shared" si="20"/>
        <v>0.867641615678933</v>
      </c>
      <c r="Q234">
        <f t="shared" si="21"/>
        <v>1</v>
      </c>
      <c r="R234">
        <f t="shared" si="22"/>
        <v>0</v>
      </c>
      <c r="S234">
        <f t="shared" si="23"/>
        <v>0.867641615678933</v>
      </c>
      <c r="T234">
        <f t="shared" si="24"/>
        <v>0.141976534744854</v>
      </c>
    </row>
    <row r="235" spans="1:20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2.04444724043875</v>
      </c>
      <c r="P235">
        <f t="shared" si="20"/>
        <v>0.885385339703304</v>
      </c>
      <c r="Q235">
        <f t="shared" si="21"/>
        <v>1</v>
      </c>
      <c r="R235">
        <f t="shared" si="22"/>
        <v>0</v>
      </c>
      <c r="S235">
        <f t="shared" si="23"/>
        <v>0.885385339703304</v>
      </c>
      <c r="T235">
        <f t="shared" si="24"/>
        <v>0.121732316644418</v>
      </c>
    </row>
    <row r="236" spans="1:20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-1.20447982865936</v>
      </c>
      <c r="P236">
        <f t="shared" si="20"/>
        <v>0.230679238736118</v>
      </c>
      <c r="Q236">
        <f t="shared" si="21"/>
        <v>0</v>
      </c>
      <c r="R236">
        <f t="shared" si="22"/>
        <v>0</v>
      </c>
      <c r="S236">
        <f t="shared" si="23"/>
        <v>0.769320761263882</v>
      </c>
      <c r="T236">
        <f t="shared" si="24"/>
        <v>0.262247281667199</v>
      </c>
    </row>
    <row r="237" spans="1:20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</v>
      </c>
      <c r="P237">
        <f t="shared" si="20"/>
        <v>0.113341769322026</v>
      </c>
      <c r="Q237">
        <f t="shared" si="21"/>
        <v>0</v>
      </c>
      <c r="R237">
        <f t="shared" si="22"/>
        <v>0</v>
      </c>
      <c r="S237">
        <f t="shared" si="23"/>
        <v>0.886658230677974</v>
      </c>
      <c r="T237">
        <f t="shared" si="24"/>
        <v>0.120295680192724</v>
      </c>
    </row>
    <row r="238" spans="1:20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4.35892132544773</v>
      </c>
      <c r="P238">
        <f t="shared" si="20"/>
        <v>0.98736939416049</v>
      </c>
      <c r="Q238">
        <f t="shared" si="21"/>
        <v>1</v>
      </c>
      <c r="R238">
        <f t="shared" si="22"/>
        <v>0</v>
      </c>
      <c r="S238">
        <f t="shared" si="23"/>
        <v>0.98736939416049</v>
      </c>
      <c r="T238">
        <f t="shared" si="24"/>
        <v>0.0127110500318483</v>
      </c>
    </row>
    <row r="239" spans="1:20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2.76918864997328</v>
      </c>
      <c r="P239">
        <f t="shared" si="20"/>
        <v>0.940987948685957</v>
      </c>
      <c r="Q239">
        <f t="shared" si="21"/>
        <v>1</v>
      </c>
      <c r="R239">
        <f t="shared" si="22"/>
        <v>0</v>
      </c>
      <c r="S239">
        <f t="shared" si="23"/>
        <v>0.940987948685957</v>
      </c>
      <c r="T239">
        <f t="shared" si="24"/>
        <v>0.0608249464012354</v>
      </c>
    </row>
    <row r="240" spans="1:20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0.411111979379312</v>
      </c>
      <c r="P240">
        <f t="shared" si="20"/>
        <v>0.60135448064808</v>
      </c>
      <c r="Q240">
        <f t="shared" si="21"/>
        <v>1</v>
      </c>
      <c r="R240">
        <f t="shared" si="22"/>
        <v>0</v>
      </c>
      <c r="S240">
        <f t="shared" si="23"/>
        <v>0.60135448064808</v>
      </c>
      <c r="T240">
        <f t="shared" si="24"/>
        <v>0.508570700271179</v>
      </c>
    </row>
    <row r="241" spans="1:20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-3.51466311164003</v>
      </c>
      <c r="P241">
        <f t="shared" si="20"/>
        <v>0.0288978879985409</v>
      </c>
      <c r="Q241">
        <f t="shared" si="21"/>
        <v>0</v>
      </c>
      <c r="R241">
        <f t="shared" si="22"/>
        <v>0</v>
      </c>
      <c r="S241">
        <f t="shared" si="23"/>
        <v>0.971102112001459</v>
      </c>
      <c r="T241">
        <f t="shared" si="24"/>
        <v>0.0293236545294319</v>
      </c>
    </row>
    <row r="242" spans="1:20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-2.89019623979427</v>
      </c>
      <c r="P242">
        <f t="shared" si="20"/>
        <v>0.0526403312296946</v>
      </c>
      <c r="Q242">
        <f t="shared" si="21"/>
        <v>0</v>
      </c>
      <c r="R242">
        <f t="shared" si="22"/>
        <v>0</v>
      </c>
      <c r="S242">
        <f t="shared" si="23"/>
        <v>0.947359668770305</v>
      </c>
      <c r="T242">
        <f t="shared" si="24"/>
        <v>0.0540764598331843</v>
      </c>
    </row>
    <row r="243" spans="1:20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</v>
      </c>
      <c r="P243">
        <f t="shared" si="20"/>
        <v>0.038043592100867</v>
      </c>
      <c r="Q243">
        <f t="shared" si="21"/>
        <v>0</v>
      </c>
      <c r="R243">
        <f t="shared" si="22"/>
        <v>0</v>
      </c>
      <c r="S243">
        <f t="shared" si="23"/>
        <v>0.961956407899133</v>
      </c>
      <c r="T243">
        <f t="shared" si="24"/>
        <v>0.0387861433773078</v>
      </c>
    </row>
    <row r="244" spans="1:20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-4.00959882607466</v>
      </c>
      <c r="P244">
        <f t="shared" si="20"/>
        <v>0.0178174508220355</v>
      </c>
      <c r="Q244">
        <f t="shared" si="21"/>
        <v>0</v>
      </c>
      <c r="R244">
        <f t="shared" si="22"/>
        <v>0</v>
      </c>
      <c r="S244">
        <f t="shared" si="23"/>
        <v>0.982182549177964</v>
      </c>
      <c r="T244">
        <f t="shared" si="24"/>
        <v>0.0179780926108173</v>
      </c>
    </row>
    <row r="245" spans="1:20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</v>
      </c>
      <c r="P245">
        <f t="shared" si="20"/>
        <v>0.0448004221097248</v>
      </c>
      <c r="Q245">
        <f t="shared" si="21"/>
        <v>0</v>
      </c>
      <c r="R245">
        <f t="shared" si="22"/>
        <v>0</v>
      </c>
      <c r="S245">
        <f t="shared" si="23"/>
        <v>0.955199577890275</v>
      </c>
      <c r="T245">
        <f t="shared" si="24"/>
        <v>0.0458349782510629</v>
      </c>
    </row>
    <row r="246" spans="1:20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</v>
      </c>
      <c r="P246">
        <f t="shared" si="20"/>
        <v>0.597898106588874</v>
      </c>
      <c r="Q246">
        <f t="shared" si="21"/>
        <v>1</v>
      </c>
      <c r="R246">
        <f t="shared" si="22"/>
        <v>0</v>
      </c>
      <c r="S246">
        <f t="shared" si="23"/>
        <v>0.597898106588874</v>
      </c>
      <c r="T246">
        <f t="shared" si="24"/>
        <v>0.514334929869194</v>
      </c>
    </row>
    <row r="247" spans="1:20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-4.12387210293957</v>
      </c>
      <c r="P247">
        <f t="shared" si="20"/>
        <v>0.015924056754692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0.0160522068131344</v>
      </c>
    </row>
    <row r="248" spans="1:20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</v>
      </c>
      <c r="P248">
        <f t="shared" si="20"/>
        <v>0.578283766024697</v>
      </c>
      <c r="Q248">
        <f t="shared" si="21"/>
        <v>1</v>
      </c>
      <c r="R248">
        <f t="shared" si="22"/>
        <v>0</v>
      </c>
      <c r="S248">
        <f t="shared" si="23"/>
        <v>0.578283766024697</v>
      </c>
      <c r="T248">
        <f t="shared" si="24"/>
        <v>0.547690586104264</v>
      </c>
    </row>
    <row r="249" spans="1:20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0.0416446586523636</v>
      </c>
      <c r="P249">
        <f t="shared" si="20"/>
        <v>0.51040966026986</v>
      </c>
      <c r="Q249">
        <f t="shared" si="21"/>
        <v>1</v>
      </c>
      <c r="R249">
        <f t="shared" si="22"/>
        <v>0</v>
      </c>
      <c r="S249">
        <f t="shared" si="23"/>
        <v>0.51040966026986</v>
      </c>
      <c r="T249">
        <f t="shared" si="24"/>
        <v>0.672541620269656</v>
      </c>
    </row>
    <row r="250" spans="1:20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2.26125898013556</v>
      </c>
      <c r="P250">
        <f t="shared" si="20"/>
        <v>0.905617296850871</v>
      </c>
      <c r="Q250">
        <f t="shared" si="21"/>
        <v>1</v>
      </c>
      <c r="R250">
        <f t="shared" si="22"/>
        <v>0</v>
      </c>
      <c r="S250">
        <f t="shared" si="23"/>
        <v>0.905617296850871</v>
      </c>
      <c r="T250">
        <f t="shared" si="24"/>
        <v>0.0991384718361231</v>
      </c>
    </row>
    <row r="251" spans="1:20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</v>
      </c>
      <c r="P251">
        <f t="shared" si="20"/>
        <v>0.865322918320576</v>
      </c>
      <c r="Q251">
        <f t="shared" si="21"/>
        <v>1</v>
      </c>
      <c r="R251">
        <f t="shared" si="22"/>
        <v>0</v>
      </c>
      <c r="S251">
        <f t="shared" si="23"/>
        <v>0.865322918320576</v>
      </c>
      <c r="T251">
        <f t="shared" si="24"/>
        <v>0.144652525737785</v>
      </c>
    </row>
    <row r="252" spans="1:20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</v>
      </c>
      <c r="P252">
        <f t="shared" si="20"/>
        <v>0.0295213246079088</v>
      </c>
      <c r="Q252">
        <f t="shared" si="21"/>
        <v>0</v>
      </c>
      <c r="R252">
        <f t="shared" si="22"/>
        <v>0</v>
      </c>
      <c r="S252">
        <f t="shared" si="23"/>
        <v>0.970478675392091</v>
      </c>
      <c r="T252">
        <f t="shared" si="24"/>
        <v>0.029965849420154</v>
      </c>
    </row>
    <row r="253" spans="1:20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0.982155238390994</v>
      </c>
      <c r="P253">
        <f t="shared" si="20"/>
        <v>0.727535653363197</v>
      </c>
      <c r="Q253">
        <f t="shared" si="21"/>
        <v>1</v>
      </c>
      <c r="R253">
        <f t="shared" si="22"/>
        <v>1</v>
      </c>
      <c r="S253">
        <f t="shared" si="23"/>
        <v>0.272464346636803</v>
      </c>
      <c r="T253">
        <f t="shared" si="24"/>
        <v>1.30024751146896</v>
      </c>
    </row>
    <row r="254" spans="1:20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</v>
      </c>
      <c r="P254">
        <f t="shared" si="20"/>
        <v>0.959367271913459</v>
      </c>
      <c r="Q254">
        <f t="shared" si="21"/>
        <v>1</v>
      </c>
      <c r="R254">
        <f t="shared" si="22"/>
        <v>0</v>
      </c>
      <c r="S254">
        <f t="shared" si="23"/>
        <v>0.959367271913459</v>
      </c>
      <c r="T254">
        <f t="shared" si="24"/>
        <v>0.0414813035735248</v>
      </c>
    </row>
    <row r="255" spans="1:20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0.033909688440799</v>
      </c>
      <c r="T255">
        <f t="shared" si="24"/>
        <v>3.38405451071343</v>
      </c>
    </row>
    <row r="256" spans="1:20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-3.01178312802589</v>
      </c>
      <c r="P256">
        <f t="shared" si="20"/>
        <v>0.0468963805842215</v>
      </c>
      <c r="Q256">
        <f t="shared" si="21"/>
        <v>0</v>
      </c>
      <c r="R256">
        <f t="shared" si="22"/>
        <v>0</v>
      </c>
      <c r="S256">
        <f t="shared" si="23"/>
        <v>0.953103619415778</v>
      </c>
      <c r="T256">
        <f t="shared" si="24"/>
        <v>0.0480316515263272</v>
      </c>
    </row>
    <row r="257" spans="1:20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</v>
      </c>
      <c r="P257">
        <f t="shared" si="20"/>
        <v>0.204484660491085</v>
      </c>
      <c r="Q257">
        <f t="shared" si="21"/>
        <v>0</v>
      </c>
      <c r="R257">
        <f t="shared" si="22"/>
        <v>0</v>
      </c>
      <c r="S257">
        <f t="shared" si="23"/>
        <v>0.795515339508915</v>
      </c>
      <c r="T257">
        <f t="shared" si="24"/>
        <v>0.22876514853802</v>
      </c>
    </row>
    <row r="258" spans="1:20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-3.71327389095721</v>
      </c>
      <c r="P258">
        <f t="shared" si="20"/>
        <v>0.0238164551823271</v>
      </c>
      <c r="Q258">
        <f t="shared" si="21"/>
        <v>0</v>
      </c>
      <c r="R258">
        <f t="shared" si="22"/>
        <v>0</v>
      </c>
      <c r="S258">
        <f t="shared" si="23"/>
        <v>0.976183544817673</v>
      </c>
      <c r="T258">
        <f t="shared" si="24"/>
        <v>0.0241046520349452</v>
      </c>
    </row>
    <row r="259" spans="1:20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-1.07784873406217</v>
      </c>
      <c r="P259">
        <f t="shared" si="20"/>
        <v>0.253913339604825</v>
      </c>
      <c r="Q259">
        <f t="shared" si="21"/>
        <v>0</v>
      </c>
      <c r="R259">
        <f t="shared" si="22"/>
        <v>0</v>
      </c>
      <c r="S259">
        <f t="shared" si="23"/>
        <v>0.746086660395175</v>
      </c>
      <c r="T259">
        <f t="shared" si="24"/>
        <v>0.292913518775646</v>
      </c>
    </row>
    <row r="260" spans="1:20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-2.07865400923667</v>
      </c>
      <c r="P260">
        <f t="shared" si="20"/>
        <v>0.111188915917835</v>
      </c>
      <c r="Q260">
        <f t="shared" si="21"/>
        <v>0</v>
      </c>
      <c r="R260">
        <f t="shared" si="22"/>
        <v>0</v>
      </c>
      <c r="S260">
        <f t="shared" si="23"/>
        <v>0.888811084082165</v>
      </c>
      <c r="T260">
        <f t="shared" si="24"/>
        <v>0.117870569894957</v>
      </c>
    </row>
    <row r="261" spans="1:20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-1.78792946501392</v>
      </c>
      <c r="P261">
        <f t="shared" si="20"/>
        <v>0.143326764767317</v>
      </c>
      <c r="Q261">
        <f t="shared" si="21"/>
        <v>0</v>
      </c>
      <c r="R261">
        <f t="shared" si="22"/>
        <v>0</v>
      </c>
      <c r="S261">
        <f t="shared" si="23"/>
        <v>0.856673235232683</v>
      </c>
      <c r="T261">
        <f t="shared" si="24"/>
        <v>0.154698722203587</v>
      </c>
    </row>
    <row r="262" spans="1:20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-1.29236365956013</v>
      </c>
      <c r="P262">
        <f t="shared" si="20"/>
        <v>0.215453005625465</v>
      </c>
      <c r="Q262">
        <f t="shared" si="21"/>
        <v>0</v>
      </c>
      <c r="R262">
        <f t="shared" si="22"/>
        <v>1</v>
      </c>
      <c r="S262">
        <f t="shared" si="23"/>
        <v>0.215453005625465</v>
      </c>
      <c r="T262">
        <f t="shared" si="24"/>
        <v>1.5350124645629</v>
      </c>
    </row>
    <row r="263" spans="1:20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7" si="25">SUMPRODUCT(A$4:M$4,A263:M263)+N$4</f>
        <v>-1.78696143262809</v>
      </c>
      <c r="P263">
        <f t="shared" ref="P263:P307" si="26">1/(1+EXP(0-O263))</f>
        <v>0.143445664896059</v>
      </c>
      <c r="Q263">
        <f t="shared" ref="Q263:Q302" si="27">IF(P263&lt;=0.5,0,1)</f>
        <v>0</v>
      </c>
      <c r="R263">
        <f t="shared" ref="R263:R302" si="28">IF(N263=Q263,0,1)</f>
        <v>0</v>
      </c>
      <c r="S263">
        <f t="shared" ref="S263:S302" si="29">IF(N263=1,P263,1-P263)</f>
        <v>0.856554335103941</v>
      </c>
      <c r="T263">
        <f t="shared" ref="T263:T302" si="30">IF(S263=0,1000000,-LN(S263))</f>
        <v>0.154837524696603</v>
      </c>
    </row>
    <row r="264" spans="1:20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-1.71382030238739</v>
      </c>
      <c r="P264">
        <f t="shared" si="26"/>
        <v>0.152668861296517</v>
      </c>
      <c r="Q264">
        <f t="shared" si="27"/>
        <v>0</v>
      </c>
      <c r="R264">
        <f t="shared" si="28"/>
        <v>1</v>
      </c>
      <c r="S264">
        <f t="shared" si="29"/>
        <v>0.152668861296517</v>
      </c>
      <c r="T264">
        <f t="shared" si="30"/>
        <v>1.87948400833469</v>
      </c>
    </row>
    <row r="265" spans="1:20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-4.5498533262441</v>
      </c>
      <c r="P265">
        <f t="shared" si="26"/>
        <v>0.01045822402757</v>
      </c>
      <c r="Q265">
        <f t="shared" si="27"/>
        <v>0</v>
      </c>
      <c r="R265">
        <f t="shared" si="28"/>
        <v>0</v>
      </c>
      <c r="S265">
        <f t="shared" si="29"/>
        <v>0.98954177597243</v>
      </c>
      <c r="T265">
        <f t="shared" si="30"/>
        <v>0.0105132955559096</v>
      </c>
    </row>
    <row r="266" spans="1:20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</v>
      </c>
      <c r="P266">
        <f t="shared" si="26"/>
        <v>0.0556225886463092</v>
      </c>
      <c r="Q266">
        <f t="shared" si="27"/>
        <v>0</v>
      </c>
      <c r="R266">
        <f t="shared" si="28"/>
        <v>0</v>
      </c>
      <c r="S266">
        <f t="shared" si="29"/>
        <v>0.944377411353691</v>
      </c>
      <c r="T266">
        <f t="shared" si="30"/>
        <v>0.0572293925726184</v>
      </c>
    </row>
    <row r="267" spans="1:20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2.69031331266811</v>
      </c>
      <c r="P267">
        <f t="shared" si="26"/>
        <v>0.936452629170444</v>
      </c>
      <c r="Q267">
        <f t="shared" si="27"/>
        <v>1</v>
      </c>
      <c r="R267">
        <f t="shared" si="28"/>
        <v>0</v>
      </c>
      <c r="S267">
        <f t="shared" si="29"/>
        <v>0.936452629170444</v>
      </c>
      <c r="T267">
        <f t="shared" si="30"/>
        <v>0.0656563412172375</v>
      </c>
    </row>
    <row r="268" spans="1:20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</v>
      </c>
      <c r="P268">
        <f t="shared" si="26"/>
        <v>0.923018461483018</v>
      </c>
      <c r="Q268">
        <f t="shared" si="27"/>
        <v>1</v>
      </c>
      <c r="R268">
        <f t="shared" si="28"/>
        <v>0</v>
      </c>
      <c r="S268">
        <f t="shared" si="29"/>
        <v>0.923018461483018</v>
      </c>
      <c r="T268">
        <f t="shared" si="30"/>
        <v>0.0801060430725774</v>
      </c>
    </row>
    <row r="269" spans="1:20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</v>
      </c>
      <c r="P269">
        <f t="shared" si="26"/>
        <v>0.543658834310889</v>
      </c>
      <c r="Q269">
        <f t="shared" si="27"/>
        <v>1</v>
      </c>
      <c r="R269">
        <f t="shared" si="28"/>
        <v>0</v>
      </c>
      <c r="S269">
        <f t="shared" si="29"/>
        <v>0.543658834310889</v>
      </c>
      <c r="T269">
        <f t="shared" si="30"/>
        <v>0.609433371673372</v>
      </c>
    </row>
    <row r="270" spans="1:20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-0.317158986736573</v>
      </c>
      <c r="P270">
        <f t="shared" si="26"/>
        <v>0.421368280158434</v>
      </c>
      <c r="Q270">
        <f t="shared" si="27"/>
        <v>0</v>
      </c>
      <c r="R270">
        <f t="shared" si="28"/>
        <v>1</v>
      </c>
      <c r="S270">
        <f t="shared" si="29"/>
        <v>0.421368280158434</v>
      </c>
      <c r="T270">
        <f t="shared" si="30"/>
        <v>0.864248052969054</v>
      </c>
    </row>
    <row r="271" spans="1:20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</v>
      </c>
      <c r="P271">
        <f t="shared" si="26"/>
        <v>0.0831461718141743</v>
      </c>
      <c r="Q271">
        <f t="shared" si="27"/>
        <v>0</v>
      </c>
      <c r="R271">
        <f t="shared" si="28"/>
        <v>0</v>
      </c>
      <c r="S271">
        <f t="shared" si="29"/>
        <v>0.916853828185826</v>
      </c>
      <c r="T271">
        <f t="shared" si="30"/>
        <v>0.0868072216280349</v>
      </c>
    </row>
    <row r="272" spans="1:20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3.05973885287618</v>
      </c>
      <c r="P272">
        <f t="shared" si="26"/>
        <v>0.955201123287176</v>
      </c>
      <c r="Q272">
        <f t="shared" si="27"/>
        <v>1</v>
      </c>
      <c r="R272">
        <f t="shared" si="28"/>
        <v>0</v>
      </c>
      <c r="S272">
        <f t="shared" si="29"/>
        <v>0.955201123287176</v>
      </c>
      <c r="T272">
        <f t="shared" si="30"/>
        <v>0.0458333603738291</v>
      </c>
    </row>
    <row r="273" spans="1:20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2.3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1.13591397051047</v>
      </c>
      <c r="P273">
        <f t="shared" si="26"/>
        <v>0.756928649409277</v>
      </c>
      <c r="Q273">
        <f t="shared" si="27"/>
        <v>1</v>
      </c>
      <c r="R273">
        <f t="shared" si="28"/>
        <v>1</v>
      </c>
      <c r="S273">
        <f t="shared" si="29"/>
        <v>0.243071350590723</v>
      </c>
      <c r="T273">
        <f t="shared" si="30"/>
        <v>1.41440025491049</v>
      </c>
    </row>
    <row r="274" spans="1:20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5.48633877713818</v>
      </c>
      <c r="P274">
        <f t="shared" si="26"/>
        <v>0.995874108673718</v>
      </c>
      <c r="Q274">
        <f t="shared" si="27"/>
        <v>1</v>
      </c>
      <c r="R274">
        <f t="shared" si="28"/>
        <v>0</v>
      </c>
      <c r="S274">
        <f t="shared" si="29"/>
        <v>0.995874108673718</v>
      </c>
      <c r="T274">
        <f t="shared" si="30"/>
        <v>0.00413442630024017</v>
      </c>
    </row>
    <row r="275" spans="1:20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</v>
      </c>
      <c r="P275">
        <f t="shared" si="26"/>
        <v>0.0658409187416156</v>
      </c>
      <c r="Q275">
        <f t="shared" si="27"/>
        <v>0</v>
      </c>
      <c r="R275">
        <f t="shared" si="28"/>
        <v>0</v>
      </c>
      <c r="S275">
        <f t="shared" si="29"/>
        <v>0.934159081258384</v>
      </c>
      <c r="T275">
        <f t="shared" si="30"/>
        <v>0.0681085327100825</v>
      </c>
    </row>
    <row r="276" spans="1:20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</v>
      </c>
      <c r="P276">
        <f t="shared" si="26"/>
        <v>0.251345732692217</v>
      </c>
      <c r="Q276">
        <f t="shared" si="27"/>
        <v>0</v>
      </c>
      <c r="R276">
        <f t="shared" si="28"/>
        <v>1</v>
      </c>
      <c r="S276">
        <f t="shared" si="29"/>
        <v>0.251345732692217</v>
      </c>
      <c r="T276">
        <f t="shared" si="30"/>
        <v>1.38092586654002</v>
      </c>
    </row>
    <row r="277" spans="1:20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</v>
      </c>
      <c r="P277">
        <f t="shared" si="26"/>
        <v>0.453650972071929</v>
      </c>
      <c r="Q277">
        <f t="shared" si="27"/>
        <v>0</v>
      </c>
      <c r="R277">
        <f t="shared" si="28"/>
        <v>0</v>
      </c>
      <c r="S277">
        <f t="shared" si="29"/>
        <v>0.546349027928071</v>
      </c>
      <c r="T277">
        <f t="shared" si="30"/>
        <v>0.604497262177964</v>
      </c>
    </row>
    <row r="278" spans="1:20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</v>
      </c>
      <c r="P278">
        <f t="shared" si="26"/>
        <v>0.290841535747547</v>
      </c>
      <c r="Q278">
        <f t="shared" si="27"/>
        <v>0</v>
      </c>
      <c r="R278">
        <f t="shared" si="28"/>
        <v>0</v>
      </c>
      <c r="S278">
        <f t="shared" si="29"/>
        <v>0.709158464252453</v>
      </c>
      <c r="T278">
        <f t="shared" si="30"/>
        <v>0.343676273541119</v>
      </c>
    </row>
    <row r="279" spans="1:20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</v>
      </c>
      <c r="P279">
        <f t="shared" si="26"/>
        <v>0.0601376422632191</v>
      </c>
      <c r="Q279">
        <f t="shared" si="27"/>
        <v>0</v>
      </c>
      <c r="R279">
        <f t="shared" si="28"/>
        <v>0</v>
      </c>
      <c r="S279">
        <f t="shared" si="29"/>
        <v>0.939862357736781</v>
      </c>
      <c r="T279">
        <f t="shared" si="30"/>
        <v>0.0620218423792997</v>
      </c>
    </row>
    <row r="280" spans="1:20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</v>
      </c>
      <c r="P280">
        <f t="shared" si="26"/>
        <v>0.292536206139143</v>
      </c>
      <c r="Q280">
        <f t="shared" si="27"/>
        <v>0</v>
      </c>
      <c r="R280">
        <f t="shared" si="28"/>
        <v>1</v>
      </c>
      <c r="S280">
        <f t="shared" si="29"/>
        <v>0.292536206139143</v>
      </c>
      <c r="T280">
        <f t="shared" si="30"/>
        <v>1.22916683829826</v>
      </c>
    </row>
    <row r="281" spans="1:20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</v>
      </c>
      <c r="P281">
        <f t="shared" si="26"/>
        <v>0.102743614614245</v>
      </c>
      <c r="Q281">
        <f t="shared" si="27"/>
        <v>0</v>
      </c>
      <c r="R281">
        <f t="shared" si="28"/>
        <v>0</v>
      </c>
      <c r="S281">
        <f t="shared" si="29"/>
        <v>0.897256385385755</v>
      </c>
      <c r="T281">
        <f t="shared" si="30"/>
        <v>0.10841363236146</v>
      </c>
    </row>
    <row r="282" spans="1:20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3.28300033924453</v>
      </c>
      <c r="P282">
        <f t="shared" si="26"/>
        <v>0.963840995687868</v>
      </c>
      <c r="Q282">
        <f t="shared" si="27"/>
        <v>1</v>
      </c>
      <c r="R282">
        <f t="shared" si="28"/>
        <v>0</v>
      </c>
      <c r="S282">
        <f t="shared" si="29"/>
        <v>0.963840995687868</v>
      </c>
      <c r="T282">
        <f t="shared" si="30"/>
        <v>0.0368289402085597</v>
      </c>
    </row>
    <row r="283" spans="1:20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</v>
      </c>
      <c r="P283">
        <f t="shared" si="26"/>
        <v>0.0626359946294319</v>
      </c>
      <c r="Q283">
        <f t="shared" si="27"/>
        <v>0</v>
      </c>
      <c r="R283">
        <f t="shared" si="28"/>
        <v>0</v>
      </c>
      <c r="S283">
        <f t="shared" si="29"/>
        <v>0.937364005370568</v>
      </c>
      <c r="T283">
        <f t="shared" si="30"/>
        <v>0.0646835925979874</v>
      </c>
    </row>
    <row r="284" spans="1:20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0.885845699008406</v>
      </c>
      <c r="Q284">
        <f t="shared" si="27"/>
        <v>1</v>
      </c>
      <c r="R284">
        <f t="shared" si="28"/>
        <v>0</v>
      </c>
      <c r="S284">
        <f t="shared" si="29"/>
        <v>0.885845699008406</v>
      </c>
      <c r="T284">
        <f t="shared" si="30"/>
        <v>0.121212498161785</v>
      </c>
    </row>
    <row r="285" spans="1:20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</v>
      </c>
      <c r="P285">
        <f t="shared" si="26"/>
        <v>0.0291564942006253</v>
      </c>
      <c r="Q285">
        <f t="shared" si="27"/>
        <v>0</v>
      </c>
      <c r="R285">
        <f t="shared" si="28"/>
        <v>0</v>
      </c>
      <c r="S285">
        <f t="shared" si="29"/>
        <v>0.970843505799375</v>
      </c>
      <c r="T285">
        <f t="shared" si="30"/>
        <v>0.0295899917545762</v>
      </c>
    </row>
    <row r="286" spans="1:20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</v>
      </c>
      <c r="P286">
        <f t="shared" si="26"/>
        <v>0.704826564523398</v>
      </c>
      <c r="Q286">
        <f t="shared" si="27"/>
        <v>1</v>
      </c>
      <c r="R286">
        <f t="shared" si="28"/>
        <v>0</v>
      </c>
      <c r="S286">
        <f t="shared" si="29"/>
        <v>0.704826564523398</v>
      </c>
      <c r="T286">
        <f t="shared" si="30"/>
        <v>0.349803514202973</v>
      </c>
    </row>
    <row r="287" spans="1:20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5.76900641460393</v>
      </c>
      <c r="P287">
        <f t="shared" si="26"/>
        <v>0.996886863086894</v>
      </c>
      <c r="Q287">
        <f t="shared" si="27"/>
        <v>1</v>
      </c>
      <c r="R287">
        <f t="shared" si="28"/>
        <v>0</v>
      </c>
      <c r="S287">
        <f t="shared" si="29"/>
        <v>0.996886863086894</v>
      </c>
      <c r="T287">
        <f t="shared" si="30"/>
        <v>0.00311799280448165</v>
      </c>
    </row>
    <row r="288" spans="1:20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3.13058207224556</v>
      </c>
      <c r="P288">
        <f t="shared" si="26"/>
        <v>0.958136746506947</v>
      </c>
      <c r="Q288">
        <f t="shared" si="27"/>
        <v>1</v>
      </c>
      <c r="R288">
        <f t="shared" si="28"/>
        <v>0</v>
      </c>
      <c r="S288">
        <f t="shared" si="29"/>
        <v>0.958136746506947</v>
      </c>
      <c r="T288">
        <f t="shared" si="30"/>
        <v>0.0427647695413767</v>
      </c>
    </row>
    <row r="289" spans="1:20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</v>
      </c>
      <c r="P289">
        <f t="shared" si="26"/>
        <v>0.202253072659045</v>
      </c>
      <c r="Q289">
        <f t="shared" si="27"/>
        <v>0</v>
      </c>
      <c r="R289">
        <f t="shared" si="28"/>
        <v>0</v>
      </c>
      <c r="S289">
        <f t="shared" si="29"/>
        <v>0.797746927340955</v>
      </c>
      <c r="T289">
        <f t="shared" si="30"/>
        <v>0.225963865487792</v>
      </c>
    </row>
    <row r="290" spans="1:20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</v>
      </c>
      <c r="P290">
        <f t="shared" si="26"/>
        <v>0.0856643067173356</v>
      </c>
      <c r="Q290">
        <f t="shared" si="27"/>
        <v>0</v>
      </c>
      <c r="R290">
        <f t="shared" si="28"/>
        <v>0</v>
      </c>
      <c r="S290">
        <f t="shared" si="29"/>
        <v>0.914335693282664</v>
      </c>
      <c r="T290">
        <f t="shared" si="30"/>
        <v>0.0895574956558238</v>
      </c>
    </row>
    <row r="291" spans="1:20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0.568482357171144</v>
      </c>
      <c r="P291">
        <f t="shared" si="26"/>
        <v>0.638412913290878</v>
      </c>
      <c r="Q291">
        <f t="shared" si="27"/>
        <v>1</v>
      </c>
      <c r="R291">
        <f t="shared" si="28"/>
        <v>0</v>
      </c>
      <c r="S291">
        <f t="shared" si="29"/>
        <v>0.638412913290878</v>
      </c>
      <c r="T291">
        <f t="shared" si="30"/>
        <v>0.448770005465151</v>
      </c>
    </row>
    <row r="292" spans="1:20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</v>
      </c>
      <c r="P292">
        <f t="shared" si="26"/>
        <v>0.0253607385066808</v>
      </c>
      <c r="Q292">
        <f t="shared" si="27"/>
        <v>0</v>
      </c>
      <c r="R292">
        <f t="shared" si="28"/>
        <v>0</v>
      </c>
      <c r="S292">
        <f t="shared" si="29"/>
        <v>0.974639261493319</v>
      </c>
      <c r="T292">
        <f t="shared" si="30"/>
        <v>0.025687864658796</v>
      </c>
    </row>
    <row r="293" spans="1:20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</v>
      </c>
      <c r="P293">
        <f t="shared" si="26"/>
        <v>0.854024053669322</v>
      </c>
      <c r="Q293">
        <f t="shared" si="27"/>
        <v>1</v>
      </c>
      <c r="R293">
        <f t="shared" si="28"/>
        <v>0</v>
      </c>
      <c r="S293">
        <f t="shared" si="29"/>
        <v>0.854024053669322</v>
      </c>
      <c r="T293">
        <f t="shared" si="30"/>
        <v>0.157795919701082</v>
      </c>
    </row>
    <row r="294" spans="1:20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</v>
      </c>
      <c r="P294">
        <f t="shared" si="26"/>
        <v>0.989996402936751</v>
      </c>
      <c r="Q294">
        <f t="shared" si="27"/>
        <v>1</v>
      </c>
      <c r="R294">
        <f t="shared" si="28"/>
        <v>0</v>
      </c>
      <c r="S294">
        <f t="shared" si="29"/>
        <v>0.989996402936751</v>
      </c>
      <c r="T294">
        <f t="shared" si="30"/>
        <v>0.0100539692573235</v>
      </c>
    </row>
    <row r="295" spans="1:20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-1.70780644621711</v>
      </c>
      <c r="P295">
        <f t="shared" si="26"/>
        <v>0.153448446273343</v>
      </c>
      <c r="Q295">
        <f t="shared" si="27"/>
        <v>0</v>
      </c>
      <c r="R295">
        <f t="shared" si="28"/>
        <v>1</v>
      </c>
      <c r="S295">
        <f t="shared" si="29"/>
        <v>0.153448446273343</v>
      </c>
      <c r="T295">
        <f t="shared" si="30"/>
        <v>1.87439062326356</v>
      </c>
    </row>
    <row r="296" spans="1:20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-3.97869125316565</v>
      </c>
      <c r="P296">
        <f t="shared" si="26"/>
        <v>0.0183664714159176</v>
      </c>
      <c r="Q296">
        <f t="shared" si="27"/>
        <v>0</v>
      </c>
      <c r="R296">
        <f t="shared" si="28"/>
        <v>0</v>
      </c>
      <c r="S296">
        <f t="shared" si="29"/>
        <v>0.981633528584082</v>
      </c>
      <c r="T296">
        <f t="shared" si="30"/>
        <v>0.0185372290945264</v>
      </c>
    </row>
    <row r="297" spans="1:20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</v>
      </c>
      <c r="P297">
        <f t="shared" si="26"/>
        <v>0.978652855169017</v>
      </c>
      <c r="Q297">
        <f t="shared" si="27"/>
        <v>1</v>
      </c>
      <c r="R297">
        <f t="shared" si="28"/>
        <v>0</v>
      </c>
      <c r="S297">
        <f t="shared" si="29"/>
        <v>0.978652855169017</v>
      </c>
      <c r="T297">
        <f t="shared" si="30"/>
        <v>0.0215782905811416</v>
      </c>
    </row>
    <row r="298" spans="1:20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</v>
      </c>
      <c r="P298">
        <f t="shared" si="26"/>
        <v>0.662738922758294</v>
      </c>
      <c r="Q298">
        <f t="shared" si="27"/>
        <v>1</v>
      </c>
      <c r="R298">
        <f t="shared" si="28"/>
        <v>0</v>
      </c>
      <c r="S298">
        <f t="shared" si="29"/>
        <v>0.662738922758294</v>
      </c>
      <c r="T298">
        <f t="shared" si="30"/>
        <v>0.411374148010331</v>
      </c>
    </row>
    <row r="299" spans="1:20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</v>
      </c>
      <c r="P299">
        <f t="shared" si="26"/>
        <v>0.260892358738652</v>
      </c>
      <c r="Q299">
        <f t="shared" si="27"/>
        <v>0</v>
      </c>
      <c r="R299">
        <f t="shared" si="28"/>
        <v>1</v>
      </c>
      <c r="S299">
        <f t="shared" si="29"/>
        <v>0.260892358738652</v>
      </c>
      <c r="T299">
        <f t="shared" si="30"/>
        <v>1.34364737535325</v>
      </c>
    </row>
    <row r="300" spans="1:20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2.69534526717542</v>
      </c>
      <c r="P300">
        <f t="shared" si="26"/>
        <v>0.936751419430395</v>
      </c>
      <c r="Q300">
        <f t="shared" si="27"/>
        <v>1</v>
      </c>
      <c r="R300">
        <f t="shared" si="28"/>
        <v>0</v>
      </c>
      <c r="S300">
        <f t="shared" si="29"/>
        <v>0.936751419430395</v>
      </c>
      <c r="T300">
        <f t="shared" si="30"/>
        <v>0.0653373260381828</v>
      </c>
    </row>
    <row r="301" spans="1:20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</v>
      </c>
      <c r="P301">
        <f t="shared" si="26"/>
        <v>0.94675363657586</v>
      </c>
      <c r="Q301">
        <f t="shared" si="27"/>
        <v>1</v>
      </c>
      <c r="R301">
        <f t="shared" si="28"/>
        <v>0</v>
      </c>
      <c r="S301">
        <f t="shared" si="29"/>
        <v>0.94675363657586</v>
      </c>
      <c r="T301">
        <f t="shared" si="30"/>
        <v>0.0547163710923634</v>
      </c>
    </row>
    <row r="302" spans="1:20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-2.38890534991581</v>
      </c>
      <c r="P302">
        <f t="shared" si="26"/>
        <v>0.0840226409203097</v>
      </c>
      <c r="Q302">
        <f t="shared" si="27"/>
        <v>0</v>
      </c>
      <c r="R302">
        <f t="shared" si="28"/>
        <v>1</v>
      </c>
      <c r="S302">
        <f t="shared" si="29"/>
        <v>0.0840226409203097</v>
      </c>
      <c r="T302">
        <f t="shared" si="30"/>
        <v>2.4766689816912</v>
      </c>
    </row>
    <row r="304" spans="1:17">
      <c r="A304" s="2" t="s">
        <v>36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Q304" s="4" t="s">
        <v>37</v>
      </c>
    </row>
    <row r="305" spans="1:17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N305" s="3"/>
      <c r="O305">
        <f t="shared" si="25"/>
        <v>-3.03296615425949</v>
      </c>
      <c r="P305">
        <f t="shared" si="26"/>
        <v>0.0459585965461174</v>
      </c>
      <c r="Q305">
        <f>IF(P305&lt;0.5,0,1)</f>
        <v>0</v>
      </c>
    </row>
    <row r="306" spans="1:17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N306" s="3"/>
      <c r="O306">
        <f t="shared" si="25"/>
        <v>-1.23747290543014</v>
      </c>
      <c r="P306">
        <f t="shared" si="26"/>
        <v>0.224876169417317</v>
      </c>
      <c r="Q306">
        <f t="shared" ref="Q306:Q307" si="31">IF(P306&lt;0.5,0,1)</f>
        <v>0</v>
      </c>
    </row>
    <row r="307" spans="1:17">
      <c r="A307">
        <v>69</v>
      </c>
      <c r="B307">
        <v>2</v>
      </c>
      <c r="C307">
        <v>4</v>
      </c>
      <c r="D307">
        <v>134</v>
      </c>
      <c r="E307">
        <v>188</v>
      </c>
      <c r="F307">
        <v>1</v>
      </c>
      <c r="G307">
        <v>0</v>
      </c>
      <c r="H307">
        <v>141</v>
      </c>
      <c r="I307">
        <v>0</v>
      </c>
      <c r="J307">
        <v>3.4</v>
      </c>
      <c r="K307">
        <v>1</v>
      </c>
      <c r="L307">
        <v>2</v>
      </c>
      <c r="M307">
        <v>5</v>
      </c>
      <c r="N307" s="3"/>
      <c r="O307">
        <f t="shared" si="25"/>
        <v>2.46996731199952</v>
      </c>
      <c r="P307">
        <f t="shared" si="26"/>
        <v>0.922009414372548</v>
      </c>
      <c r="Q307">
        <f t="shared" si="31"/>
        <v>1</v>
      </c>
    </row>
  </sheetData>
  <mergeCells count="1">
    <mergeCell ref="A304:N30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LR-log-likelihoods</vt:lpstr>
      <vt:lpstr>LR-log-loss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Chí Vỹ Trần</cp:lastModifiedBy>
  <dcterms:created xsi:type="dcterms:W3CDTF">2006-09-16T00:00:00Z</dcterms:created>
  <dcterms:modified xsi:type="dcterms:W3CDTF">2025-11-18T12:07:53Z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A56408B4D40F45A79E85E9346914B3AE_12</vt:lpwstr>
  </property>
  <property fmtid="{D5CDD505-2E9C-101B-9397-08002B2CF9AE}" pid="3" name="KSOProductBuildVer">
    <vt:lpwstr>1033-12.2.0.23155</vt:lpwstr>
  </property>
</Properties>
</file>