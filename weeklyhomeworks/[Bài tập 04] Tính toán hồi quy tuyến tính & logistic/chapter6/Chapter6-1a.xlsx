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10187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Chapter6" description="Connection to the 'Chapter6' query in the workbook." type="5" background="1" refreshedVersion="2" saveData="1">
    <dbPr connection="Provider=Microsoft.Mashup.OleDb.1;Data Source=$Workbook$;Location=Chapter6;Extended Properties=&quot;&quot;" command="SELECT * FROM [Chapter6]" commandType="2"/>
  </connection>
</connections>
</file>

<file path=xl/sharedStrings.xml><?xml version="1.0" encoding="utf-8"?>
<sst xmlns="http://schemas.openxmlformats.org/spreadsheetml/2006/main" count="21" uniqueCount="21">
  <si>
    <t>to-maximize</t>
  </si>
  <si>
    <t>m1</t>
  </si>
  <si>
    <t>m2</t>
  </si>
  <si>
    <t>m3</t>
  </si>
  <si>
    <t>m4</t>
  </si>
  <si>
    <t>m5</t>
  </si>
  <si>
    <t>b</t>
  </si>
  <si>
    <t>total diff</t>
  </si>
  <si>
    <t>patientID</t>
  </si>
  <si>
    <t>gene1</t>
  </si>
  <si>
    <t>gene2</t>
  </si>
  <si>
    <t>gene3</t>
  </si>
  <si>
    <t>gene4</t>
  </si>
  <si>
    <t>gene5</t>
  </si>
  <si>
    <t>5-year survival</t>
  </si>
  <si>
    <t>m1x1+m2x2+…+b”</t>
  </si>
  <si>
    <t>P(1)</t>
  </si>
  <si>
    <t>outcome</t>
  </si>
  <si>
    <t>diff</t>
  </si>
  <si>
    <t>likeilhood</t>
  </si>
  <si>
    <t>ln(likelihood)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</si>
</sst>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231F20"/>
      <name val="TheSansMonoConNorm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tabSelected="1" workbookViewId="0">
      <selection activeCell="M1" sqref="M1"/>
    </sheetView>
  </sheetViews>
  <sheetFormatPr defaultColWidth="9" defaultRowHeight="14.4"/>
  <cols>
    <col min="7" max="7" width="14" customWidth="1"/>
  </cols>
  <sheetData>
    <row r="1" spans="2:1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0</v>
      </c>
      <c r="M1">
        <f>SUM(M6:M92)</f>
        <v>-28.7210893370198</v>
      </c>
    </row>
    <row r="2" spans="2:11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7</v>
      </c>
      <c r="K2">
        <f>SUM(K6:K92)</f>
        <v>12</v>
      </c>
    </row>
    <row r="3" spans="2:7">
      <c r="B3">
        <f>INDEX(LINEST($G$6:$G$92,$B$6:$F$92),1,B1)</f>
        <v>-0.000316463975230488</v>
      </c>
      <c r="C3">
        <f t="shared" ref="C3:G4" si="0">INDEX(LINEST($G$6:$G$92,$B$6:$F$92),1,C1)</f>
        <v>0.00301000641306018</v>
      </c>
      <c r="D3">
        <f t="shared" si="0"/>
        <v>-0.00513304331038813</v>
      </c>
      <c r="E3">
        <f t="shared" si="0"/>
        <v>-0.000510118083544647</v>
      </c>
      <c r="F3">
        <f t="shared" si="0"/>
        <v>-0.000741551855139767</v>
      </c>
      <c r="G3">
        <f t="shared" si="0"/>
        <v>0.535574025174708</v>
      </c>
    </row>
    <row r="4" spans="2:7">
      <c r="B4">
        <v>-0.0203197011686302</v>
      </c>
      <c r="C4">
        <v>-0.00793924162190258</v>
      </c>
      <c r="D4">
        <v>-0.097137358474938</v>
      </c>
      <c r="E4">
        <v>-0.0107309794088858</v>
      </c>
      <c r="F4">
        <v>-0.00379966064941144</v>
      </c>
      <c r="G4">
        <v>4.22299878186586</v>
      </c>
    </row>
    <row r="5" spans="1:13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t="s">
        <v>15</v>
      </c>
      <c r="I5" t="s">
        <v>16</v>
      </c>
      <c r="J5" s="1" t="s">
        <v>17</v>
      </c>
      <c r="K5" s="1" t="s">
        <v>18</v>
      </c>
      <c r="L5" s="1" t="s">
        <v>19</v>
      </c>
      <c r="M5" s="1" t="s">
        <v>20</v>
      </c>
    </row>
    <row r="6" spans="1:13">
      <c r="A6">
        <v>1</v>
      </c>
      <c r="B6">
        <v>92.0826</v>
      </c>
      <c r="C6">
        <v>443.3735</v>
      </c>
      <c r="D6">
        <v>350.94664</v>
      </c>
      <c r="E6">
        <v>11.1876</v>
      </c>
      <c r="F6">
        <v>77.926</v>
      </c>
      <c r="G6">
        <v>0</v>
      </c>
      <c r="H6">
        <f>SUMPRODUCT($B$4:$F$4,B6:F6)+$G$4</f>
        <v>-35.6743173144691</v>
      </c>
      <c r="I6">
        <f>1/(1+EXP(0-H6))</f>
        <v>3.21248304837048e-16</v>
      </c>
      <c r="J6" s="2">
        <f>IF(I6&gt;0.5,1,0)</f>
        <v>0</v>
      </c>
      <c r="K6">
        <f>IF(G6=J6,0,1)</f>
        <v>0</v>
      </c>
      <c r="L6">
        <f>IF(G6=1,I6,1-I6)</f>
        <v>1</v>
      </c>
      <c r="M6">
        <f>IF(L6=0,-1000000,LN(L6))</f>
        <v>-3.33066907387547e-16</v>
      </c>
    </row>
    <row r="7" spans="1:13">
      <c r="A7">
        <v>2</v>
      </c>
      <c r="B7">
        <v>97.1228</v>
      </c>
      <c r="C7">
        <v>29.215618</v>
      </c>
      <c r="D7">
        <v>2.579007</v>
      </c>
      <c r="E7">
        <v>301.8684</v>
      </c>
      <c r="F7">
        <v>171.9968</v>
      </c>
      <c r="G7">
        <v>0</v>
      </c>
      <c r="H7">
        <f t="shared" ref="H7:H70" si="1">SUMPRODUCT($B$4:$F$4,B7:F7)+$G$4</f>
        <v>-2.12584832607634</v>
      </c>
      <c r="I7">
        <f t="shared" ref="I7:I70" si="2">1/(1+EXP(0-H7))</f>
        <v>0.106609768901538</v>
      </c>
      <c r="J7" s="2">
        <f t="shared" ref="J7:J70" si="3">IF(I7&gt;0.5,1,0)</f>
        <v>0</v>
      </c>
      <c r="K7">
        <f t="shared" ref="K7:K70" si="4">IF(G7=J7,0,1)</f>
        <v>0</v>
      </c>
      <c r="L7">
        <f t="shared" ref="L7:L70" si="5">IF(G7=1,I7,1-I7)</f>
        <v>0.893390231098462</v>
      </c>
      <c r="M7">
        <f t="shared" ref="M7:M70" si="6">IF(L7=0,-1000000,LN(L7))</f>
        <v>-0.112731804645434</v>
      </c>
    </row>
    <row r="8" spans="1:13">
      <c r="A8">
        <v>3</v>
      </c>
      <c r="B8">
        <v>7.73995</v>
      </c>
      <c r="C8">
        <v>42.368421</v>
      </c>
      <c r="D8">
        <v>39.907121</v>
      </c>
      <c r="E8">
        <v>9.2879</v>
      </c>
      <c r="F8">
        <v>104.2632</v>
      </c>
      <c r="G8">
        <v>1</v>
      </c>
      <c r="H8">
        <f t="shared" si="1"/>
        <v>-0.642953180804996</v>
      </c>
      <c r="I8">
        <f t="shared" si="2"/>
        <v>0.344579274272481</v>
      </c>
      <c r="J8" s="2">
        <f t="shared" si="3"/>
        <v>0</v>
      </c>
      <c r="K8">
        <f t="shared" si="4"/>
        <v>1</v>
      </c>
      <c r="L8">
        <f t="shared" si="5"/>
        <v>0.344579274272481</v>
      </c>
      <c r="M8">
        <f t="shared" si="6"/>
        <v>-1.06543110100209</v>
      </c>
    </row>
    <row r="9" spans="1:13">
      <c r="A9">
        <v>4</v>
      </c>
      <c r="B9">
        <v>60.2125</v>
      </c>
      <c r="C9">
        <v>25.631641</v>
      </c>
      <c r="D9">
        <v>2.420307</v>
      </c>
      <c r="E9">
        <v>14.1677</v>
      </c>
      <c r="F9">
        <v>94.6316</v>
      </c>
      <c r="G9">
        <v>1</v>
      </c>
      <c r="H9">
        <f t="shared" si="1"/>
        <v>2.04929949182434</v>
      </c>
      <c r="I9">
        <f t="shared" si="2"/>
        <v>0.885876817127978</v>
      </c>
      <c r="J9" s="2">
        <f t="shared" si="3"/>
        <v>1</v>
      </c>
      <c r="K9">
        <f t="shared" si="4"/>
        <v>0</v>
      </c>
      <c r="L9">
        <f t="shared" si="5"/>
        <v>0.885876817127978</v>
      </c>
      <c r="M9">
        <f t="shared" si="6"/>
        <v>-0.121177370629914</v>
      </c>
    </row>
    <row r="10" spans="1:13">
      <c r="A10">
        <v>5</v>
      </c>
      <c r="B10">
        <v>385.4766</v>
      </c>
      <c r="C10">
        <v>20.329639</v>
      </c>
      <c r="D10">
        <v>5.831751</v>
      </c>
      <c r="E10">
        <v>35.4298</v>
      </c>
      <c r="F10">
        <v>71.0588</v>
      </c>
      <c r="G10">
        <v>0</v>
      </c>
      <c r="H10">
        <f t="shared" si="1"/>
        <v>-4.98784912157969</v>
      </c>
      <c r="I10">
        <f t="shared" si="2"/>
        <v>0.00677411676959656</v>
      </c>
      <c r="J10" s="2">
        <f t="shared" si="3"/>
        <v>0</v>
      </c>
      <c r="K10">
        <f t="shared" si="4"/>
        <v>0</v>
      </c>
      <c r="L10">
        <f t="shared" si="5"/>
        <v>0.993225883230403</v>
      </c>
      <c r="M10">
        <f t="shared" si="6"/>
        <v>-0.00679716524628796</v>
      </c>
    </row>
    <row r="11" spans="1:13">
      <c r="A11">
        <v>6</v>
      </c>
      <c r="B11">
        <v>476.644</v>
      </c>
      <c r="C11">
        <v>12.487453</v>
      </c>
      <c r="D11">
        <v>4.406125</v>
      </c>
      <c r="E11">
        <v>50.444</v>
      </c>
      <c r="F11">
        <v>104.7838</v>
      </c>
      <c r="G11">
        <v>0</v>
      </c>
      <c r="H11">
        <f t="shared" si="1"/>
        <v>-6.92886151903187</v>
      </c>
      <c r="I11">
        <f t="shared" si="2"/>
        <v>0.000978157209488619</v>
      </c>
      <c r="J11" s="2">
        <f t="shared" si="3"/>
        <v>0</v>
      </c>
      <c r="K11">
        <f t="shared" si="4"/>
        <v>0</v>
      </c>
      <c r="L11">
        <f t="shared" si="5"/>
        <v>0.999021842790511</v>
      </c>
      <c r="M11">
        <f t="shared" si="6"/>
        <v>-0.000978635917445028</v>
      </c>
    </row>
    <row r="12" spans="1:13">
      <c r="A12">
        <v>7</v>
      </c>
      <c r="B12">
        <v>25.89</v>
      </c>
      <c r="C12">
        <v>18.495146</v>
      </c>
      <c r="D12">
        <v>28.721683</v>
      </c>
      <c r="E12">
        <v>6.4724</v>
      </c>
      <c r="F12">
        <v>78.3981</v>
      </c>
      <c r="G12">
        <v>0</v>
      </c>
      <c r="H12">
        <f t="shared" si="1"/>
        <v>0.392794501424438</v>
      </c>
      <c r="I12">
        <f t="shared" si="2"/>
        <v>0.596955237231584</v>
      </c>
      <c r="J12" s="2">
        <f t="shared" si="3"/>
        <v>1</v>
      </c>
      <c r="K12">
        <f t="shared" si="4"/>
        <v>1</v>
      </c>
      <c r="L12">
        <f t="shared" si="5"/>
        <v>0.403044762768416</v>
      </c>
      <c r="M12">
        <f t="shared" si="6"/>
        <v>-0.908707649336662</v>
      </c>
    </row>
    <row r="13" spans="1:13">
      <c r="A13">
        <v>8</v>
      </c>
      <c r="B13">
        <v>142.85715</v>
      </c>
      <c r="C13">
        <v>15.411994</v>
      </c>
      <c r="D13">
        <v>1.019015</v>
      </c>
      <c r="E13">
        <v>24.3784</v>
      </c>
      <c r="F13">
        <v>146.7328</v>
      </c>
      <c r="G13">
        <v>1</v>
      </c>
      <c r="H13">
        <f t="shared" si="1"/>
        <v>0.279701259916497</v>
      </c>
      <c r="I13">
        <f t="shared" si="2"/>
        <v>0.569472982306582</v>
      </c>
      <c r="J13" s="2">
        <f t="shared" si="3"/>
        <v>1</v>
      </c>
      <c r="K13">
        <f t="shared" si="4"/>
        <v>0</v>
      </c>
      <c r="L13">
        <f t="shared" si="5"/>
        <v>0.569472982306582</v>
      </c>
      <c r="M13">
        <f t="shared" si="6"/>
        <v>-0.563043938297381</v>
      </c>
    </row>
    <row r="14" spans="1:13">
      <c r="A14">
        <v>9</v>
      </c>
      <c r="B14">
        <v>188.6454</v>
      </c>
      <c r="C14">
        <v>26.958862</v>
      </c>
      <c r="D14">
        <v>12.50801</v>
      </c>
      <c r="E14">
        <v>82.0198</v>
      </c>
      <c r="F14">
        <v>137.7771</v>
      </c>
      <c r="G14">
        <v>0</v>
      </c>
      <c r="H14">
        <f t="shared" si="1"/>
        <v>-2.44290635359943</v>
      </c>
      <c r="I14">
        <f t="shared" si="2"/>
        <v>0.0799588438474703</v>
      </c>
      <c r="J14" s="2">
        <f t="shared" si="3"/>
        <v>0</v>
      </c>
      <c r="K14">
        <f t="shared" si="4"/>
        <v>0</v>
      </c>
      <c r="L14">
        <f t="shared" si="5"/>
        <v>0.92004115615253</v>
      </c>
      <c r="M14">
        <f t="shared" si="6"/>
        <v>-0.0833368749912272</v>
      </c>
    </row>
    <row r="15" spans="1:13">
      <c r="A15">
        <v>10</v>
      </c>
      <c r="B15">
        <v>1383.3642</v>
      </c>
      <c r="C15">
        <v>14.225508</v>
      </c>
      <c r="D15">
        <v>1.49353</v>
      </c>
      <c r="E15">
        <v>312.0148</v>
      </c>
      <c r="F15">
        <v>787.2921</v>
      </c>
      <c r="G15">
        <v>0</v>
      </c>
      <c r="H15">
        <f t="shared" si="1"/>
        <v>-30.4842328797548</v>
      </c>
      <c r="I15">
        <f t="shared" si="2"/>
        <v>5.76588366027801e-14</v>
      </c>
      <c r="J15" s="2">
        <f t="shared" si="3"/>
        <v>0</v>
      </c>
      <c r="K15">
        <f t="shared" si="4"/>
        <v>0</v>
      </c>
      <c r="L15">
        <f t="shared" si="5"/>
        <v>0.999999999999942</v>
      </c>
      <c r="M15">
        <f t="shared" si="6"/>
        <v>-5.76205749780473e-14</v>
      </c>
    </row>
    <row r="16" spans="1:13">
      <c r="A16">
        <v>11</v>
      </c>
      <c r="B16">
        <v>365.397</v>
      </c>
      <c r="C16">
        <v>3.279844</v>
      </c>
      <c r="D16">
        <v>0.35542</v>
      </c>
      <c r="E16">
        <v>74.8254</v>
      </c>
      <c r="F16">
        <v>132.8732</v>
      </c>
      <c r="G16">
        <v>0</v>
      </c>
      <c r="H16">
        <f t="shared" si="1"/>
        <v>-4.57014599605842</v>
      </c>
      <c r="I16">
        <f t="shared" si="2"/>
        <v>0.0102502910049591</v>
      </c>
      <c r="J16" s="2">
        <f t="shared" si="3"/>
        <v>0</v>
      </c>
      <c r="K16">
        <f t="shared" si="4"/>
        <v>0</v>
      </c>
      <c r="L16">
        <f t="shared" si="5"/>
        <v>0.989749708995041</v>
      </c>
      <c r="M16">
        <f t="shared" si="6"/>
        <v>-0.0103031870145906</v>
      </c>
    </row>
    <row r="17" spans="1:13">
      <c r="A17">
        <v>12</v>
      </c>
      <c r="B17">
        <v>26.89425</v>
      </c>
      <c r="C17">
        <v>40.6827</v>
      </c>
      <c r="D17">
        <v>18.960434</v>
      </c>
      <c r="E17">
        <v>20.6879</v>
      </c>
      <c r="F17">
        <v>204.8443</v>
      </c>
      <c r="G17">
        <v>1</v>
      </c>
      <c r="H17">
        <f t="shared" si="1"/>
        <v>0.511419144402335</v>
      </c>
      <c r="I17">
        <f t="shared" si="2"/>
        <v>0.625139096075511</v>
      </c>
      <c r="J17" s="2">
        <f t="shared" si="3"/>
        <v>1</v>
      </c>
      <c r="K17">
        <f t="shared" si="4"/>
        <v>0</v>
      </c>
      <c r="L17">
        <f t="shared" si="5"/>
        <v>0.625139096075511</v>
      </c>
      <c r="M17">
        <f t="shared" si="6"/>
        <v>-0.469781100286323</v>
      </c>
    </row>
    <row r="18" spans="1:13">
      <c r="A18">
        <v>13</v>
      </c>
      <c r="B18">
        <v>10.107</v>
      </c>
      <c r="C18">
        <v>12.223543</v>
      </c>
      <c r="D18">
        <v>22.972652</v>
      </c>
      <c r="E18">
        <v>9.5125</v>
      </c>
      <c r="F18">
        <v>42.9952</v>
      </c>
      <c r="G18">
        <v>1</v>
      </c>
      <c r="H18">
        <f t="shared" si="1"/>
        <v>1.4236335571772</v>
      </c>
      <c r="I18">
        <f t="shared" si="2"/>
        <v>0.805907411634321</v>
      </c>
      <c r="J18" s="2">
        <f t="shared" si="3"/>
        <v>1</v>
      </c>
      <c r="K18">
        <f t="shared" si="4"/>
        <v>0</v>
      </c>
      <c r="L18">
        <f t="shared" si="5"/>
        <v>0.805907411634321</v>
      </c>
      <c r="M18">
        <f t="shared" si="6"/>
        <v>-0.215786416976849</v>
      </c>
    </row>
    <row r="19" spans="1:13">
      <c r="A19">
        <v>14</v>
      </c>
      <c r="B19">
        <v>196.5098</v>
      </c>
      <c r="C19">
        <v>18.721548</v>
      </c>
      <c r="D19">
        <v>5.223824</v>
      </c>
      <c r="E19">
        <v>80.4248</v>
      </c>
      <c r="F19">
        <v>292.0713</v>
      </c>
      <c r="G19">
        <v>0</v>
      </c>
      <c r="H19">
        <f t="shared" si="1"/>
        <v>-2.39889368664365</v>
      </c>
      <c r="I19">
        <f t="shared" si="2"/>
        <v>0.0832570973299914</v>
      </c>
      <c r="J19" s="2">
        <f t="shared" si="3"/>
        <v>0</v>
      </c>
      <c r="K19">
        <f t="shared" si="4"/>
        <v>0</v>
      </c>
      <c r="L19">
        <f t="shared" si="5"/>
        <v>0.916742902670009</v>
      </c>
      <c r="M19">
        <f t="shared" si="6"/>
        <v>-0.0869282138986751</v>
      </c>
    </row>
    <row r="20" spans="1:13">
      <c r="A20">
        <v>15</v>
      </c>
      <c r="B20">
        <v>1955.5984</v>
      </c>
      <c r="C20">
        <v>10.482625</v>
      </c>
      <c r="D20">
        <v>2.30695</v>
      </c>
      <c r="E20">
        <v>44.4016</v>
      </c>
      <c r="F20">
        <v>83.8803</v>
      </c>
      <c r="G20">
        <v>0</v>
      </c>
      <c r="H20">
        <f t="shared" si="1"/>
        <v>-36.6166807643184</v>
      </c>
      <c r="I20">
        <f t="shared" si="2"/>
        <v>1.25192294290876e-16</v>
      </c>
      <c r="J20" s="2">
        <f t="shared" si="3"/>
        <v>0</v>
      </c>
      <c r="K20">
        <f t="shared" si="4"/>
        <v>0</v>
      </c>
      <c r="L20">
        <f t="shared" si="5"/>
        <v>1</v>
      </c>
      <c r="M20">
        <f t="shared" si="6"/>
        <v>-1.11022302462516e-16</v>
      </c>
    </row>
    <row r="21" spans="1:13">
      <c r="A21">
        <v>16</v>
      </c>
      <c r="B21">
        <v>740.099</v>
      </c>
      <c r="C21">
        <v>10.532178</v>
      </c>
      <c r="D21">
        <v>6.410891</v>
      </c>
      <c r="E21">
        <v>168.3168</v>
      </c>
      <c r="F21">
        <v>143.8119</v>
      </c>
      <c r="G21">
        <v>0</v>
      </c>
      <c r="H21">
        <f t="shared" si="1"/>
        <v>-13.8745867888104</v>
      </c>
      <c r="I21">
        <f t="shared" si="2"/>
        <v>9.42634020001699e-7</v>
      </c>
      <c r="J21" s="2">
        <f t="shared" si="3"/>
        <v>0</v>
      </c>
      <c r="K21">
        <f t="shared" si="4"/>
        <v>0</v>
      </c>
      <c r="L21">
        <f t="shared" si="5"/>
        <v>0.99999905736598</v>
      </c>
      <c r="M21">
        <f t="shared" si="6"/>
        <v>-9.42634464231154e-7</v>
      </c>
    </row>
    <row r="22" spans="1:13">
      <c r="A22">
        <v>17</v>
      </c>
      <c r="B22">
        <v>327.3114</v>
      </c>
      <c r="C22">
        <v>13.294368</v>
      </c>
      <c r="D22">
        <v>12.592986</v>
      </c>
      <c r="E22">
        <v>95.643</v>
      </c>
      <c r="F22">
        <v>327.8693</v>
      </c>
      <c r="G22">
        <v>0</v>
      </c>
      <c r="H22">
        <f t="shared" si="1"/>
        <v>-6.02880279129862</v>
      </c>
      <c r="I22">
        <f t="shared" si="2"/>
        <v>0.00240258924426933</v>
      </c>
      <c r="J22" s="2">
        <f t="shared" si="3"/>
        <v>0</v>
      </c>
      <c r="K22">
        <f t="shared" si="4"/>
        <v>0</v>
      </c>
      <c r="L22">
        <f t="shared" si="5"/>
        <v>0.997597410755731</v>
      </c>
      <c r="M22">
        <f t="shared" si="6"/>
        <v>-0.00240548009308406</v>
      </c>
    </row>
    <row r="23" spans="1:13">
      <c r="A23">
        <v>18</v>
      </c>
      <c r="B23">
        <v>490.3126</v>
      </c>
      <c r="C23">
        <v>14.897055</v>
      </c>
      <c r="D23">
        <v>8.785743</v>
      </c>
      <c r="E23">
        <v>44.5738</v>
      </c>
      <c r="F23">
        <v>264.2913</v>
      </c>
      <c r="G23">
        <v>0</v>
      </c>
      <c r="H23">
        <f t="shared" si="1"/>
        <v>-8.19423969827527</v>
      </c>
      <c r="I23">
        <f t="shared" si="2"/>
        <v>0.00027616393523028</v>
      </c>
      <c r="J23" s="2">
        <f t="shared" si="3"/>
        <v>0</v>
      </c>
      <c r="K23">
        <f t="shared" si="4"/>
        <v>0</v>
      </c>
      <c r="L23">
        <f t="shared" si="5"/>
        <v>0.99972383606477</v>
      </c>
      <c r="M23">
        <f t="shared" si="6"/>
        <v>-0.000276202075512036</v>
      </c>
    </row>
    <row r="24" spans="1:13">
      <c r="A24">
        <v>19</v>
      </c>
      <c r="B24">
        <v>67.77555</v>
      </c>
      <c r="C24">
        <v>23.059925</v>
      </c>
      <c r="D24">
        <v>1.006487</v>
      </c>
      <c r="E24">
        <v>61.6879</v>
      </c>
      <c r="F24">
        <v>101.2721</v>
      </c>
      <c r="G24">
        <v>1</v>
      </c>
      <c r="H24">
        <f t="shared" si="1"/>
        <v>1.51820285651833</v>
      </c>
      <c r="I24">
        <f t="shared" si="2"/>
        <v>0.820273689618551</v>
      </c>
      <c r="J24" s="2">
        <f t="shared" si="3"/>
        <v>1</v>
      </c>
      <c r="K24">
        <f t="shared" si="4"/>
        <v>0</v>
      </c>
      <c r="L24">
        <f t="shared" si="5"/>
        <v>0.820273689618551</v>
      </c>
      <c r="M24">
        <f t="shared" si="6"/>
        <v>-0.198117226584428</v>
      </c>
    </row>
    <row r="25" spans="1:13">
      <c r="A25">
        <v>20</v>
      </c>
      <c r="B25">
        <v>331.7972</v>
      </c>
      <c r="C25">
        <v>13.179724</v>
      </c>
      <c r="D25">
        <v>6.958525</v>
      </c>
      <c r="E25">
        <v>36.8664</v>
      </c>
      <c r="F25">
        <v>195.5069</v>
      </c>
      <c r="G25">
        <v>0</v>
      </c>
      <c r="H25">
        <f t="shared" si="1"/>
        <v>-4.43806337534832</v>
      </c>
      <c r="I25">
        <f t="shared" si="2"/>
        <v>0.0116807524250918</v>
      </c>
      <c r="J25" s="2">
        <f t="shared" si="3"/>
        <v>0</v>
      </c>
      <c r="K25">
        <f t="shared" si="4"/>
        <v>0</v>
      </c>
      <c r="L25">
        <f t="shared" si="5"/>
        <v>0.988319247574908</v>
      </c>
      <c r="M25">
        <f t="shared" si="6"/>
        <v>-0.0117495083521155</v>
      </c>
    </row>
    <row r="26" spans="1:13">
      <c r="A26">
        <v>21</v>
      </c>
      <c r="B26">
        <v>134.7414</v>
      </c>
      <c r="C26">
        <v>14.555197</v>
      </c>
      <c r="D26">
        <v>10.089932</v>
      </c>
      <c r="E26">
        <v>219.3464</v>
      </c>
      <c r="F26">
        <v>148.774</v>
      </c>
      <c r="G26">
        <v>0</v>
      </c>
      <c r="H26">
        <f t="shared" si="1"/>
        <v>-2.5296651839549</v>
      </c>
      <c r="I26">
        <f t="shared" si="2"/>
        <v>0.0738045304983984</v>
      </c>
      <c r="J26" s="2">
        <f t="shared" si="3"/>
        <v>0</v>
      </c>
      <c r="K26">
        <f t="shared" si="4"/>
        <v>0</v>
      </c>
      <c r="L26">
        <f t="shared" si="5"/>
        <v>0.926195469501602</v>
      </c>
      <c r="M26">
        <f t="shared" si="6"/>
        <v>-0.076669976437838</v>
      </c>
    </row>
    <row r="27" spans="1:13">
      <c r="A27">
        <v>22</v>
      </c>
      <c r="B27">
        <v>320.1754</v>
      </c>
      <c r="C27">
        <v>1.677632</v>
      </c>
      <c r="D27">
        <v>3.936404</v>
      </c>
      <c r="E27">
        <v>92.1052</v>
      </c>
      <c r="F27">
        <v>133.5526</v>
      </c>
      <c r="G27">
        <v>0</v>
      </c>
      <c r="H27">
        <f t="shared" si="1"/>
        <v>-4.17439424342948</v>
      </c>
      <c r="I27">
        <f t="shared" si="2"/>
        <v>0.0151514110931664</v>
      </c>
      <c r="J27" s="2">
        <f t="shared" si="3"/>
        <v>0</v>
      </c>
      <c r="K27">
        <f t="shared" si="4"/>
        <v>0</v>
      </c>
      <c r="L27">
        <f t="shared" si="5"/>
        <v>0.984848588906834</v>
      </c>
      <c r="M27">
        <f t="shared" si="6"/>
        <v>-0.0152673664715476</v>
      </c>
    </row>
    <row r="28" spans="1:13">
      <c r="A28">
        <v>23</v>
      </c>
      <c r="B28">
        <v>86.6038</v>
      </c>
      <c r="C28">
        <v>19.735692</v>
      </c>
      <c r="D28">
        <v>12.357707</v>
      </c>
      <c r="E28">
        <v>16.6546</v>
      </c>
      <c r="F28">
        <v>94.9493</v>
      </c>
      <c r="G28">
        <v>0</v>
      </c>
      <c r="H28">
        <f t="shared" si="1"/>
        <v>0.56665871508496</v>
      </c>
      <c r="I28">
        <f t="shared" si="2"/>
        <v>0.637991834179574</v>
      </c>
      <c r="J28" s="2">
        <f t="shared" si="3"/>
        <v>1</v>
      </c>
      <c r="K28">
        <f t="shared" si="4"/>
        <v>1</v>
      </c>
      <c r="L28">
        <f t="shared" si="5"/>
        <v>0.362008165820426</v>
      </c>
      <c r="M28">
        <f t="shared" si="6"/>
        <v>-1.01608850989579</v>
      </c>
    </row>
    <row r="29" spans="1:13">
      <c r="A29">
        <v>24</v>
      </c>
      <c r="B29">
        <v>223.0364</v>
      </c>
      <c r="C29">
        <v>6.865337</v>
      </c>
      <c r="D29">
        <v>11.744257</v>
      </c>
      <c r="E29">
        <v>20.9096</v>
      </c>
      <c r="F29">
        <v>485.8837</v>
      </c>
      <c r="G29">
        <v>0</v>
      </c>
      <c r="H29">
        <f t="shared" si="1"/>
        <v>-3.57491954947926</v>
      </c>
      <c r="I29">
        <f t="shared" si="2"/>
        <v>0.0272540835368674</v>
      </c>
      <c r="J29" s="2">
        <f t="shared" si="3"/>
        <v>0</v>
      </c>
      <c r="K29">
        <f t="shared" si="4"/>
        <v>0</v>
      </c>
      <c r="L29">
        <f t="shared" si="5"/>
        <v>0.972745916463133</v>
      </c>
      <c r="M29">
        <f t="shared" si="6"/>
        <v>-0.0276323650567582</v>
      </c>
    </row>
    <row r="30" spans="1:13">
      <c r="A30">
        <v>25</v>
      </c>
      <c r="B30">
        <v>380.805</v>
      </c>
      <c r="C30">
        <v>14.504644</v>
      </c>
      <c r="D30">
        <v>8.80805</v>
      </c>
      <c r="E30">
        <v>49.5356</v>
      </c>
      <c r="F30">
        <v>209.2105</v>
      </c>
      <c r="G30">
        <v>0</v>
      </c>
      <c r="H30">
        <f t="shared" si="1"/>
        <v>-5.8120860132257</v>
      </c>
      <c r="I30">
        <f t="shared" si="2"/>
        <v>0.00298226341226885</v>
      </c>
      <c r="J30" s="2">
        <f t="shared" si="3"/>
        <v>0</v>
      </c>
      <c r="K30">
        <f t="shared" si="4"/>
        <v>0</v>
      </c>
      <c r="L30">
        <f t="shared" si="5"/>
        <v>0.997017736587731</v>
      </c>
      <c r="M30">
        <f t="shared" si="6"/>
        <v>-0.00298671922093414</v>
      </c>
    </row>
    <row r="31" spans="1:13">
      <c r="A31">
        <v>26</v>
      </c>
      <c r="B31">
        <v>192.7282</v>
      </c>
      <c r="C31">
        <v>10.003011</v>
      </c>
      <c r="D31">
        <v>15.344934</v>
      </c>
      <c r="E31">
        <v>23.0436</v>
      </c>
      <c r="F31">
        <v>144.4077</v>
      </c>
      <c r="G31">
        <v>0</v>
      </c>
      <c r="H31">
        <f t="shared" si="1"/>
        <v>-2.05914397717855</v>
      </c>
      <c r="I31">
        <f t="shared" si="2"/>
        <v>0.113131688893717</v>
      </c>
      <c r="J31" s="2">
        <f t="shared" si="3"/>
        <v>0</v>
      </c>
      <c r="K31">
        <f t="shared" si="4"/>
        <v>0</v>
      </c>
      <c r="L31">
        <f t="shared" si="5"/>
        <v>0.886868311106283</v>
      </c>
      <c r="M31">
        <f t="shared" si="6"/>
        <v>-0.120058773189258</v>
      </c>
    </row>
    <row r="32" spans="1:13">
      <c r="A32">
        <v>27</v>
      </c>
      <c r="B32">
        <v>585.824</v>
      </c>
      <c r="C32">
        <v>23.82579</v>
      </c>
      <c r="D32">
        <v>5.473954</v>
      </c>
      <c r="E32">
        <v>751.4944</v>
      </c>
      <c r="F32">
        <v>188.9624</v>
      </c>
      <c r="G32">
        <v>0</v>
      </c>
      <c r="H32">
        <f t="shared" si="1"/>
        <v>-17.1839178989531</v>
      </c>
      <c r="I32">
        <f t="shared" si="2"/>
        <v>3.4444450761759e-8</v>
      </c>
      <c r="J32" s="2">
        <f t="shared" si="3"/>
        <v>0</v>
      </c>
      <c r="K32">
        <f t="shared" si="4"/>
        <v>0</v>
      </c>
      <c r="L32">
        <f t="shared" si="5"/>
        <v>0.999999965555549</v>
      </c>
      <c r="M32">
        <f t="shared" si="6"/>
        <v>-3.4444451329292e-8</v>
      </c>
    </row>
    <row r="33" spans="1:13">
      <c r="A33">
        <v>28</v>
      </c>
      <c r="B33">
        <v>22.63375</v>
      </c>
      <c r="C33">
        <v>16.985597</v>
      </c>
      <c r="D33">
        <v>21.934156</v>
      </c>
      <c r="E33">
        <v>34.9794</v>
      </c>
      <c r="F33">
        <v>154.3498</v>
      </c>
      <c r="G33">
        <v>1</v>
      </c>
      <c r="H33">
        <f t="shared" si="1"/>
        <v>0.535768930208201</v>
      </c>
      <c r="I33">
        <f t="shared" si="2"/>
        <v>0.630827615304656</v>
      </c>
      <c r="J33" s="2">
        <f t="shared" si="3"/>
        <v>1</v>
      </c>
      <c r="K33">
        <f t="shared" si="4"/>
        <v>0</v>
      </c>
      <c r="L33">
        <f t="shared" si="5"/>
        <v>0.630827615304656</v>
      </c>
      <c r="M33">
        <f t="shared" si="6"/>
        <v>-0.460722646625975</v>
      </c>
    </row>
    <row r="34" spans="1:13">
      <c r="A34">
        <v>29</v>
      </c>
      <c r="B34">
        <v>281.9732</v>
      </c>
      <c r="C34">
        <v>7.576127</v>
      </c>
      <c r="D34">
        <v>4.445798</v>
      </c>
      <c r="E34">
        <v>9.7442</v>
      </c>
      <c r="F34">
        <v>62.3374</v>
      </c>
      <c r="G34">
        <v>1</v>
      </c>
      <c r="H34">
        <f t="shared" si="1"/>
        <v>-2.34003993186359</v>
      </c>
      <c r="I34">
        <f t="shared" si="2"/>
        <v>0.087860714588791</v>
      </c>
      <c r="J34" s="2">
        <f t="shared" si="3"/>
        <v>0</v>
      </c>
      <c r="K34">
        <f t="shared" si="4"/>
        <v>1</v>
      </c>
      <c r="L34">
        <f t="shared" si="5"/>
        <v>0.087860714588791</v>
      </c>
      <c r="M34">
        <f t="shared" si="6"/>
        <v>-2.43200250720112</v>
      </c>
    </row>
    <row r="35" spans="1:13">
      <c r="A35">
        <v>30</v>
      </c>
      <c r="B35">
        <v>320.488</v>
      </c>
      <c r="C35">
        <v>11.435774</v>
      </c>
      <c r="D35">
        <v>3.753606</v>
      </c>
      <c r="E35">
        <v>23.8576</v>
      </c>
      <c r="F35">
        <v>63.9675</v>
      </c>
      <c r="G35">
        <v>0</v>
      </c>
      <c r="H35">
        <f t="shared" si="1"/>
        <v>-3.24369855771789</v>
      </c>
      <c r="I35">
        <f t="shared" si="2"/>
        <v>0.0375539821379134</v>
      </c>
      <c r="J35" s="2">
        <f t="shared" si="3"/>
        <v>0</v>
      </c>
      <c r="K35">
        <f t="shared" si="4"/>
        <v>0</v>
      </c>
      <c r="L35">
        <f t="shared" si="5"/>
        <v>0.962446017862087</v>
      </c>
      <c r="M35">
        <f t="shared" si="6"/>
        <v>-0.038277299731131</v>
      </c>
    </row>
    <row r="36" spans="1:13">
      <c r="A36">
        <v>31</v>
      </c>
      <c r="B36">
        <v>775.3844</v>
      </c>
      <c r="C36">
        <v>4.270233</v>
      </c>
      <c r="D36">
        <v>3.202675</v>
      </c>
      <c r="E36">
        <v>0</v>
      </c>
      <c r="F36">
        <v>137.3745</v>
      </c>
      <c r="G36">
        <v>0</v>
      </c>
      <c r="H36">
        <f t="shared" si="1"/>
        <v>-12.3995587999569</v>
      </c>
      <c r="I36">
        <f t="shared" si="2"/>
        <v>4.12038925228962e-6</v>
      </c>
      <c r="J36" s="2">
        <f t="shared" si="3"/>
        <v>0</v>
      </c>
      <c r="K36">
        <f t="shared" si="4"/>
        <v>0</v>
      </c>
      <c r="L36">
        <f t="shared" si="5"/>
        <v>0.999995879610748</v>
      </c>
      <c r="M36">
        <f t="shared" si="6"/>
        <v>-4.12039774106501e-6</v>
      </c>
    </row>
    <row r="37" spans="1:13">
      <c r="A37">
        <v>32</v>
      </c>
      <c r="B37">
        <v>220.5718</v>
      </c>
      <c r="C37">
        <v>14.028964</v>
      </c>
      <c r="D37">
        <v>19.257334</v>
      </c>
      <c r="E37">
        <v>151.5038</v>
      </c>
      <c r="F37">
        <v>111.1493</v>
      </c>
      <c r="G37">
        <v>0</v>
      </c>
      <c r="H37">
        <f t="shared" si="1"/>
        <v>-4.28905395087916</v>
      </c>
      <c r="I37">
        <f t="shared" si="2"/>
        <v>0.013532262778349</v>
      </c>
      <c r="J37" s="2">
        <f t="shared" si="3"/>
        <v>0</v>
      </c>
      <c r="K37">
        <f t="shared" si="4"/>
        <v>0</v>
      </c>
      <c r="L37">
        <f t="shared" si="5"/>
        <v>0.986467737221651</v>
      </c>
      <c r="M37">
        <f t="shared" si="6"/>
        <v>-0.0136246583404767</v>
      </c>
    </row>
    <row r="38" spans="1:13">
      <c r="A38">
        <v>33</v>
      </c>
      <c r="B38">
        <v>51.4593</v>
      </c>
      <c r="C38">
        <v>8.617512</v>
      </c>
      <c r="D38">
        <v>9.585253</v>
      </c>
      <c r="E38">
        <v>21.5054</v>
      </c>
      <c r="F38">
        <v>32.7942</v>
      </c>
      <c r="G38">
        <v>1</v>
      </c>
      <c r="H38">
        <f t="shared" si="1"/>
        <v>1.82247768098857</v>
      </c>
      <c r="I38">
        <f t="shared" si="2"/>
        <v>0.860863163589236</v>
      </c>
      <c r="J38" s="2">
        <f t="shared" si="3"/>
        <v>1</v>
      </c>
      <c r="K38">
        <f t="shared" si="4"/>
        <v>0</v>
      </c>
      <c r="L38">
        <f t="shared" si="5"/>
        <v>0.860863163589236</v>
      </c>
      <c r="M38">
        <f t="shared" si="6"/>
        <v>-0.149819714491035</v>
      </c>
    </row>
    <row r="39" spans="1:13">
      <c r="A39">
        <v>34</v>
      </c>
      <c r="B39">
        <v>122.3764</v>
      </c>
      <c r="C39">
        <v>9.053718</v>
      </c>
      <c r="D39">
        <v>6.670224</v>
      </c>
      <c r="E39">
        <v>72.572</v>
      </c>
      <c r="F39">
        <v>318.4899</v>
      </c>
      <c r="G39">
        <v>0</v>
      </c>
      <c r="H39">
        <f t="shared" si="1"/>
        <v>-0.972382868728236</v>
      </c>
      <c r="I39">
        <f t="shared" si="2"/>
        <v>0.274405800796703</v>
      </c>
      <c r="J39" s="2">
        <f t="shared" si="3"/>
        <v>0</v>
      </c>
      <c r="K39">
        <f t="shared" si="4"/>
        <v>0</v>
      </c>
      <c r="L39">
        <f t="shared" si="5"/>
        <v>0.725594199203297</v>
      </c>
      <c r="M39">
        <f t="shared" si="6"/>
        <v>-0.320764374695943</v>
      </c>
    </row>
    <row r="40" spans="1:13">
      <c r="A40">
        <v>35</v>
      </c>
      <c r="B40">
        <v>69.5498</v>
      </c>
      <c r="C40">
        <v>36.724414</v>
      </c>
      <c r="D40">
        <v>39.827811</v>
      </c>
      <c r="E40">
        <v>47.4204</v>
      </c>
      <c r="F40">
        <v>104.0339</v>
      </c>
      <c r="G40">
        <v>0</v>
      </c>
      <c r="H40">
        <f t="shared" si="1"/>
        <v>-2.25472557301592</v>
      </c>
      <c r="I40">
        <f t="shared" si="2"/>
        <v>0.0949426254023224</v>
      </c>
      <c r="J40" s="2">
        <f t="shared" si="3"/>
        <v>0</v>
      </c>
      <c r="K40">
        <f t="shared" si="4"/>
        <v>0</v>
      </c>
      <c r="L40">
        <f t="shared" si="5"/>
        <v>0.905057374597678</v>
      </c>
      <c r="M40">
        <f t="shared" si="6"/>
        <v>-0.0997569399462377</v>
      </c>
    </row>
    <row r="41" spans="1:13">
      <c r="A41">
        <v>36</v>
      </c>
      <c r="B41">
        <v>161.372</v>
      </c>
      <c r="C41">
        <v>6.293505</v>
      </c>
      <c r="D41">
        <v>1.828882</v>
      </c>
      <c r="E41">
        <v>59.1698</v>
      </c>
      <c r="F41">
        <v>193.7681</v>
      </c>
      <c r="G41">
        <v>0</v>
      </c>
      <c r="H41">
        <f t="shared" si="1"/>
        <v>-0.654853388513449</v>
      </c>
      <c r="I41">
        <f t="shared" si="2"/>
        <v>0.341896672261112</v>
      </c>
      <c r="J41" s="2">
        <f t="shared" si="3"/>
        <v>0</v>
      </c>
      <c r="K41">
        <f t="shared" si="4"/>
        <v>0</v>
      </c>
      <c r="L41">
        <f t="shared" si="5"/>
        <v>0.658103327738888</v>
      </c>
      <c r="M41">
        <f t="shared" si="6"/>
        <v>-0.418393326947394</v>
      </c>
    </row>
    <row r="42" spans="1:13">
      <c r="A42">
        <v>37</v>
      </c>
      <c r="B42">
        <v>551.655</v>
      </c>
      <c r="C42">
        <v>27.582748</v>
      </c>
      <c r="D42">
        <v>5.426279</v>
      </c>
      <c r="E42">
        <v>306.9208</v>
      </c>
      <c r="F42">
        <v>181.4694</v>
      </c>
      <c r="G42">
        <v>0</v>
      </c>
      <c r="H42">
        <f t="shared" si="1"/>
        <v>-11.715629398902</v>
      </c>
      <c r="I42">
        <f t="shared" si="2"/>
        <v>8.16513282500339e-6</v>
      </c>
      <c r="J42" s="2">
        <f t="shared" si="3"/>
        <v>0</v>
      </c>
      <c r="K42">
        <f t="shared" si="4"/>
        <v>0</v>
      </c>
      <c r="L42">
        <f t="shared" si="5"/>
        <v>0.999991834867175</v>
      </c>
      <c r="M42">
        <f t="shared" si="6"/>
        <v>-8.16516615985614e-6</v>
      </c>
    </row>
    <row r="43" spans="1:13">
      <c r="A43">
        <v>38</v>
      </c>
      <c r="B43">
        <v>182.3834</v>
      </c>
      <c r="C43">
        <v>19.927461</v>
      </c>
      <c r="D43">
        <v>2.787565</v>
      </c>
      <c r="E43">
        <v>10.3626</v>
      </c>
      <c r="F43">
        <v>118.2642</v>
      </c>
      <c r="G43">
        <v>0</v>
      </c>
      <c r="H43">
        <f t="shared" si="1"/>
        <v>-0.472527706916754</v>
      </c>
      <c r="I43">
        <f t="shared" si="2"/>
        <v>0.384018144039276</v>
      </c>
      <c r="J43" s="2">
        <f t="shared" si="3"/>
        <v>0</v>
      </c>
      <c r="K43">
        <f t="shared" si="4"/>
        <v>0</v>
      </c>
      <c r="L43">
        <f t="shared" si="5"/>
        <v>0.615981855960724</v>
      </c>
      <c r="M43">
        <f t="shared" si="6"/>
        <v>-0.484537770491627</v>
      </c>
    </row>
    <row r="44" spans="1:13">
      <c r="A44">
        <v>39</v>
      </c>
      <c r="B44">
        <v>328.1896</v>
      </c>
      <c r="C44">
        <v>3.979425</v>
      </c>
      <c r="D44">
        <v>1.937022</v>
      </c>
      <c r="E44">
        <v>341.237</v>
      </c>
      <c r="F44">
        <v>519.7936</v>
      </c>
      <c r="G44">
        <v>0</v>
      </c>
      <c r="H44">
        <f t="shared" si="1"/>
        <v>-8.30231314205136</v>
      </c>
      <c r="I44">
        <f t="shared" si="2"/>
        <v>0.000247881176420195</v>
      </c>
      <c r="J44" s="2">
        <f t="shared" si="3"/>
        <v>0</v>
      </c>
      <c r="K44">
        <f t="shared" si="4"/>
        <v>0</v>
      </c>
      <c r="L44">
        <f t="shared" si="5"/>
        <v>0.99975211882358</v>
      </c>
      <c r="M44">
        <f t="shared" si="6"/>
        <v>-0.000247911904036943</v>
      </c>
    </row>
    <row r="45" spans="1:13">
      <c r="A45">
        <v>40</v>
      </c>
      <c r="B45">
        <v>241.712</v>
      </c>
      <c r="C45">
        <v>8.64383</v>
      </c>
      <c r="D45">
        <v>19.643475</v>
      </c>
      <c r="E45">
        <v>970.3508</v>
      </c>
      <c r="F45">
        <v>78.4218</v>
      </c>
      <c r="G45">
        <v>0</v>
      </c>
      <c r="H45">
        <f t="shared" si="1"/>
        <v>-13.3760482363951</v>
      </c>
      <c r="I45">
        <f t="shared" si="2"/>
        <v>1.55187017742793e-6</v>
      </c>
      <c r="J45" s="2">
        <f t="shared" si="3"/>
        <v>0</v>
      </c>
      <c r="K45">
        <f t="shared" si="4"/>
        <v>0</v>
      </c>
      <c r="L45">
        <f t="shared" si="5"/>
        <v>0.999998448129823</v>
      </c>
      <c r="M45">
        <f t="shared" si="6"/>
        <v>-1.55187138162593e-6</v>
      </c>
    </row>
    <row r="46" spans="1:13">
      <c r="A46">
        <v>41</v>
      </c>
      <c r="B46">
        <v>175.3862</v>
      </c>
      <c r="C46">
        <v>21.978077</v>
      </c>
      <c r="D46">
        <v>13.692078</v>
      </c>
      <c r="E46">
        <v>58.7942</v>
      </c>
      <c r="F46">
        <v>78.3134</v>
      </c>
      <c r="G46">
        <v>0</v>
      </c>
      <c r="H46">
        <f t="shared" si="1"/>
        <v>-1.77378163773986</v>
      </c>
      <c r="I46">
        <f t="shared" si="2"/>
        <v>0.145072675474934</v>
      </c>
      <c r="J46" s="2">
        <f t="shared" si="3"/>
        <v>0</v>
      </c>
      <c r="K46">
        <f t="shared" si="4"/>
        <v>0</v>
      </c>
      <c r="L46">
        <f t="shared" si="5"/>
        <v>0.854927324525066</v>
      </c>
      <c r="M46">
        <f t="shared" si="6"/>
        <v>-0.156738814213607</v>
      </c>
    </row>
    <row r="47" spans="1:13">
      <c r="A47">
        <v>42</v>
      </c>
      <c r="B47">
        <v>448.8584</v>
      </c>
      <c r="C47">
        <v>16.29569</v>
      </c>
      <c r="D47">
        <v>12.220743</v>
      </c>
      <c r="E47">
        <v>54.8786</v>
      </c>
      <c r="F47">
        <v>181.0356</v>
      </c>
      <c r="G47">
        <v>0</v>
      </c>
      <c r="H47">
        <f t="shared" si="1"/>
        <v>-7.49091085914139</v>
      </c>
      <c r="I47">
        <f t="shared" si="2"/>
        <v>0.000557823006925104</v>
      </c>
      <c r="J47" s="2">
        <f t="shared" si="3"/>
        <v>0</v>
      </c>
      <c r="K47">
        <f t="shared" si="4"/>
        <v>0</v>
      </c>
      <c r="L47">
        <f t="shared" si="5"/>
        <v>0.999442176993075</v>
      </c>
      <c r="M47">
        <f t="shared" si="6"/>
        <v>-0.000557978648061441</v>
      </c>
    </row>
    <row r="48" spans="1:13">
      <c r="A48">
        <v>43</v>
      </c>
      <c r="B48">
        <v>58.7691</v>
      </c>
      <c r="C48">
        <v>32.248959</v>
      </c>
      <c r="D48">
        <v>7.019898</v>
      </c>
      <c r="E48">
        <v>39.7964</v>
      </c>
      <c r="F48">
        <v>134.5854</v>
      </c>
      <c r="G48">
        <v>1</v>
      </c>
      <c r="H48">
        <f t="shared" si="1"/>
        <v>1.15246840856411</v>
      </c>
      <c r="I48">
        <f t="shared" si="2"/>
        <v>0.759961492995966</v>
      </c>
      <c r="J48" s="2">
        <f t="shared" si="3"/>
        <v>1</v>
      </c>
      <c r="K48">
        <f t="shared" si="4"/>
        <v>0</v>
      </c>
      <c r="L48">
        <f t="shared" si="5"/>
        <v>0.759961492995966</v>
      </c>
      <c r="M48">
        <f t="shared" si="6"/>
        <v>-0.274487514095953</v>
      </c>
    </row>
    <row r="49" spans="1:13">
      <c r="A49">
        <v>44</v>
      </c>
      <c r="B49">
        <v>102.05185</v>
      </c>
      <c r="C49">
        <v>21.846652</v>
      </c>
      <c r="D49">
        <v>4.740821</v>
      </c>
      <c r="E49">
        <v>15.6587</v>
      </c>
      <c r="F49">
        <v>177.7257</v>
      </c>
      <c r="G49">
        <v>1</v>
      </c>
      <c r="H49">
        <f t="shared" si="1"/>
        <v>0.672048472410836</v>
      </c>
      <c r="I49">
        <f t="shared" si="2"/>
        <v>0.661961694586006</v>
      </c>
      <c r="J49" s="2">
        <f t="shared" si="3"/>
        <v>1</v>
      </c>
      <c r="K49">
        <f t="shared" si="4"/>
        <v>0</v>
      </c>
      <c r="L49">
        <f t="shared" si="5"/>
        <v>0.661961694586006</v>
      </c>
      <c r="M49">
        <f t="shared" si="6"/>
        <v>-0.412547587882399</v>
      </c>
    </row>
    <row r="50" spans="1:13">
      <c r="A50">
        <v>45</v>
      </c>
      <c r="B50">
        <v>919.1186</v>
      </c>
      <c r="C50">
        <v>12.946122</v>
      </c>
      <c r="D50">
        <v>5.410776</v>
      </c>
      <c r="E50">
        <v>9.1708</v>
      </c>
      <c r="F50">
        <v>98.8759</v>
      </c>
      <c r="G50">
        <v>0</v>
      </c>
      <c r="H50">
        <f t="shared" si="1"/>
        <v>-15.5556939195962</v>
      </c>
      <c r="I50">
        <f t="shared" si="2"/>
        <v>1.75488189064236e-7</v>
      </c>
      <c r="J50" s="2">
        <f t="shared" si="3"/>
        <v>0</v>
      </c>
      <c r="K50">
        <f t="shared" si="4"/>
        <v>0</v>
      </c>
      <c r="L50">
        <f t="shared" si="5"/>
        <v>0.999999824511811</v>
      </c>
      <c r="M50">
        <f t="shared" si="6"/>
        <v>-1.75488204489465e-7</v>
      </c>
    </row>
    <row r="51" spans="1:13">
      <c r="A51">
        <v>46</v>
      </c>
      <c r="B51">
        <v>157.173</v>
      </c>
      <c r="C51">
        <v>8.236287</v>
      </c>
      <c r="D51">
        <v>1.421941</v>
      </c>
      <c r="E51">
        <v>48.1013</v>
      </c>
      <c r="F51">
        <v>101.1097</v>
      </c>
      <c r="G51">
        <v>1</v>
      </c>
      <c r="H51">
        <f t="shared" si="1"/>
        <v>-0.0745796833232264</v>
      </c>
      <c r="I51">
        <f t="shared" si="2"/>
        <v>0.481363716486531</v>
      </c>
      <c r="J51" s="2">
        <f t="shared" si="3"/>
        <v>0</v>
      </c>
      <c r="K51">
        <f t="shared" si="4"/>
        <v>1</v>
      </c>
      <c r="L51">
        <f t="shared" si="5"/>
        <v>0.481363716486531</v>
      </c>
      <c r="M51">
        <f t="shared" si="6"/>
        <v>-0.731132127295186</v>
      </c>
    </row>
    <row r="52" spans="1:13">
      <c r="A52">
        <v>47</v>
      </c>
      <c r="B52">
        <v>113.3558</v>
      </c>
      <c r="C52">
        <v>30.756011</v>
      </c>
      <c r="D52">
        <v>13.094433</v>
      </c>
      <c r="E52">
        <v>51.193</v>
      </c>
      <c r="F52">
        <v>140.1842</v>
      </c>
      <c r="G52">
        <v>0</v>
      </c>
      <c r="H52">
        <f t="shared" si="1"/>
        <v>-0.678498652155407</v>
      </c>
      <c r="I52">
        <f t="shared" si="2"/>
        <v>0.336596470209929</v>
      </c>
      <c r="J52" s="2">
        <f t="shared" si="3"/>
        <v>0</v>
      </c>
      <c r="K52">
        <f t="shared" si="4"/>
        <v>0</v>
      </c>
      <c r="L52">
        <f t="shared" si="5"/>
        <v>0.663403529790071</v>
      </c>
      <c r="M52">
        <f t="shared" si="6"/>
        <v>-0.410371831726526</v>
      </c>
    </row>
    <row r="53" spans="1:13">
      <c r="A53">
        <v>48</v>
      </c>
      <c r="B53">
        <v>417.3228</v>
      </c>
      <c r="C53">
        <v>18.725394</v>
      </c>
      <c r="D53">
        <v>19.699803</v>
      </c>
      <c r="E53">
        <v>200.7874</v>
      </c>
      <c r="F53">
        <v>179.0354</v>
      </c>
      <c r="G53">
        <v>0</v>
      </c>
      <c r="H53">
        <f t="shared" si="1"/>
        <v>-9.15404727751349</v>
      </c>
      <c r="I53">
        <f t="shared" si="2"/>
        <v>0.000105779580015929</v>
      </c>
      <c r="J53" s="2">
        <f t="shared" si="3"/>
        <v>0</v>
      </c>
      <c r="K53">
        <f t="shared" si="4"/>
        <v>0</v>
      </c>
      <c r="L53">
        <f t="shared" si="5"/>
        <v>0.999894220419984</v>
      </c>
      <c r="M53">
        <f t="shared" si="6"/>
        <v>-0.000105785175070236</v>
      </c>
    </row>
    <row r="54" spans="1:13">
      <c r="A54">
        <v>49</v>
      </c>
      <c r="B54">
        <v>277.7836</v>
      </c>
      <c r="C54">
        <v>10.678865</v>
      </c>
      <c r="D54">
        <v>27.549641</v>
      </c>
      <c r="E54">
        <v>123.9214</v>
      </c>
      <c r="F54">
        <v>259.12</v>
      </c>
      <c r="G54">
        <v>0</v>
      </c>
      <c r="H54">
        <f t="shared" si="1"/>
        <v>-6.49672846203175</v>
      </c>
      <c r="I54">
        <f t="shared" si="2"/>
        <v>0.00150609406499873</v>
      </c>
      <c r="J54" s="2">
        <f t="shared" si="3"/>
        <v>0</v>
      </c>
      <c r="K54">
        <f t="shared" si="4"/>
        <v>0</v>
      </c>
      <c r="L54">
        <f t="shared" si="5"/>
        <v>0.998493905935001</v>
      </c>
      <c r="M54">
        <f t="shared" si="6"/>
        <v>-0.0015072293647203</v>
      </c>
    </row>
    <row r="55" spans="1:13">
      <c r="A55">
        <v>50</v>
      </c>
      <c r="B55">
        <v>95.724</v>
      </c>
      <c r="C55">
        <v>39.450245</v>
      </c>
      <c r="D55">
        <v>8.034832</v>
      </c>
      <c r="E55">
        <v>138.7998</v>
      </c>
      <c r="F55">
        <v>163.7998</v>
      </c>
      <c r="G55">
        <v>0</v>
      </c>
      <c r="H55">
        <f t="shared" si="1"/>
        <v>-0.927613126367176</v>
      </c>
      <c r="I55">
        <f t="shared" si="2"/>
        <v>0.283409210223091</v>
      </c>
      <c r="J55" s="2">
        <f t="shared" si="3"/>
        <v>0</v>
      </c>
      <c r="K55">
        <f t="shared" si="4"/>
        <v>0</v>
      </c>
      <c r="L55">
        <f t="shared" si="5"/>
        <v>0.716590789776909</v>
      </c>
      <c r="M55">
        <f t="shared" si="6"/>
        <v>-0.333250326863558</v>
      </c>
    </row>
    <row r="56" spans="1:13">
      <c r="A56">
        <v>51</v>
      </c>
      <c r="B56">
        <v>133.0612</v>
      </c>
      <c r="C56">
        <v>31.008163</v>
      </c>
      <c r="D56">
        <v>16.583673</v>
      </c>
      <c r="E56">
        <v>5.7142</v>
      </c>
      <c r="F56">
        <v>44.5918</v>
      </c>
      <c r="G56">
        <v>0</v>
      </c>
      <c r="H56">
        <f t="shared" si="1"/>
        <v>-0.568593196898638</v>
      </c>
      <c r="I56">
        <f t="shared" si="2"/>
        <v>0.361561500652222</v>
      </c>
      <c r="J56" s="2">
        <f t="shared" si="3"/>
        <v>0</v>
      </c>
      <c r="K56">
        <f t="shared" si="4"/>
        <v>0</v>
      </c>
      <c r="L56">
        <f t="shared" si="5"/>
        <v>0.638438499347778</v>
      </c>
      <c r="M56">
        <f t="shared" si="6"/>
        <v>-0.448729928668978</v>
      </c>
    </row>
    <row r="57" spans="1:13">
      <c r="A57">
        <v>52</v>
      </c>
      <c r="B57">
        <v>39.9686</v>
      </c>
      <c r="C57">
        <v>20.952194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-0.0245568385997483</v>
      </c>
      <c r="I57">
        <f t="shared" si="2"/>
        <v>0.49386109884635</v>
      </c>
      <c r="J57" s="2">
        <f t="shared" si="3"/>
        <v>0</v>
      </c>
      <c r="K57">
        <f t="shared" si="4"/>
        <v>0</v>
      </c>
      <c r="L57">
        <f t="shared" si="5"/>
        <v>0.50613890115365</v>
      </c>
      <c r="M57">
        <f t="shared" si="6"/>
        <v>-0.680944139156361</v>
      </c>
    </row>
    <row r="58" spans="1:13">
      <c r="A58">
        <v>53</v>
      </c>
      <c r="B58">
        <v>102.1739</v>
      </c>
      <c r="C58">
        <v>27.33913</v>
      </c>
      <c r="D58">
        <v>3.93913</v>
      </c>
      <c r="E58">
        <v>38.2609</v>
      </c>
      <c r="F58">
        <v>165.087</v>
      </c>
      <c r="G58">
        <v>1</v>
      </c>
      <c r="H58">
        <f t="shared" si="1"/>
        <v>0.50931551724555</v>
      </c>
      <c r="I58">
        <f t="shared" si="2"/>
        <v>0.624646002029713</v>
      </c>
      <c r="J58" s="2">
        <f t="shared" si="3"/>
        <v>1</v>
      </c>
      <c r="K58">
        <f t="shared" si="4"/>
        <v>0</v>
      </c>
      <c r="L58">
        <f t="shared" si="5"/>
        <v>0.624646002029713</v>
      </c>
      <c r="M58">
        <f t="shared" si="6"/>
        <v>-0.470570186461428</v>
      </c>
    </row>
    <row r="59" spans="1:13">
      <c r="A59">
        <v>54</v>
      </c>
      <c r="B59">
        <v>16.96605</v>
      </c>
      <c r="C59">
        <v>50.933134</v>
      </c>
      <c r="D59">
        <v>29.780439</v>
      </c>
      <c r="E59">
        <v>12.475</v>
      </c>
      <c r="F59">
        <v>41.9142</v>
      </c>
      <c r="G59">
        <v>1</v>
      </c>
      <c r="H59">
        <f t="shared" si="1"/>
        <v>0.287961375265652</v>
      </c>
      <c r="I59">
        <f t="shared" si="2"/>
        <v>0.571496970752658</v>
      </c>
      <c r="J59" s="2">
        <f t="shared" si="3"/>
        <v>1</v>
      </c>
      <c r="K59">
        <f t="shared" si="4"/>
        <v>0</v>
      </c>
      <c r="L59">
        <f t="shared" si="5"/>
        <v>0.571496970752658</v>
      </c>
      <c r="M59">
        <f t="shared" si="6"/>
        <v>-0.559496096281604</v>
      </c>
    </row>
    <row r="60" spans="1:13">
      <c r="A60">
        <v>55</v>
      </c>
      <c r="B60">
        <v>293.518</v>
      </c>
      <c r="C60">
        <v>43.684224</v>
      </c>
      <c r="D60">
        <v>7.010084</v>
      </c>
      <c r="E60">
        <v>48.9196</v>
      </c>
      <c r="F60">
        <v>206.6273</v>
      </c>
      <c r="G60">
        <v>0</v>
      </c>
      <c r="H60">
        <f t="shared" si="1"/>
        <v>-4.07902875879193</v>
      </c>
      <c r="I60">
        <f t="shared" si="2"/>
        <v>0.0166422432816543</v>
      </c>
      <c r="J60" s="2">
        <f t="shared" si="3"/>
        <v>0</v>
      </c>
      <c r="K60">
        <f t="shared" si="4"/>
        <v>0</v>
      </c>
      <c r="L60">
        <f t="shared" si="5"/>
        <v>0.983357756718346</v>
      </c>
      <c r="M60">
        <f t="shared" si="6"/>
        <v>-0.0167822812841322</v>
      </c>
    </row>
    <row r="61" spans="1:13">
      <c r="A61">
        <v>56</v>
      </c>
      <c r="B61">
        <v>133.3334</v>
      </c>
      <c r="C61">
        <v>23.614379</v>
      </c>
      <c r="D61">
        <v>10.098039</v>
      </c>
      <c r="E61">
        <v>24.8366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0.431811649712001</v>
      </c>
      <c r="J61" s="2">
        <f t="shared" si="3"/>
        <v>0</v>
      </c>
      <c r="K61">
        <f t="shared" si="4"/>
        <v>0</v>
      </c>
      <c r="L61">
        <f t="shared" si="5"/>
        <v>0.568188350287999</v>
      </c>
      <c r="M61">
        <f t="shared" si="6"/>
        <v>-0.565302312609266</v>
      </c>
    </row>
    <row r="62" spans="1:13">
      <c r="A62">
        <v>57</v>
      </c>
      <c r="B62">
        <v>131.6343</v>
      </c>
      <c r="C62">
        <v>12.737845</v>
      </c>
      <c r="D62">
        <v>5.591983</v>
      </c>
      <c r="E62">
        <v>3.4641</v>
      </c>
      <c r="F62">
        <v>38.5893</v>
      </c>
      <c r="G62">
        <v>1</v>
      </c>
      <c r="H62">
        <f t="shared" si="1"/>
        <v>0.720110425401293</v>
      </c>
      <c r="I62">
        <f t="shared" si="2"/>
        <v>0.672631333030476</v>
      </c>
      <c r="J62" s="2">
        <f t="shared" si="3"/>
        <v>1</v>
      </c>
      <c r="K62">
        <f t="shared" si="4"/>
        <v>0</v>
      </c>
      <c r="L62">
        <f t="shared" si="5"/>
        <v>0.672631333030476</v>
      </c>
      <c r="M62">
        <f t="shared" si="6"/>
        <v>-0.396557895821262</v>
      </c>
    </row>
    <row r="63" spans="1:13">
      <c r="A63">
        <v>58</v>
      </c>
      <c r="B63">
        <v>30.38915</v>
      </c>
      <c r="C63">
        <v>42.006177</v>
      </c>
      <c r="D63">
        <v>11.147622</v>
      </c>
      <c r="E63">
        <v>37.554</v>
      </c>
      <c r="F63">
        <v>141.8042</v>
      </c>
      <c r="G63">
        <v>1</v>
      </c>
      <c r="H63">
        <f t="shared" si="1"/>
        <v>1.24735355254211</v>
      </c>
      <c r="I63">
        <f t="shared" si="2"/>
        <v>0.776841412281694</v>
      </c>
      <c r="J63" s="2">
        <f t="shared" si="3"/>
        <v>1</v>
      </c>
      <c r="K63">
        <f t="shared" si="4"/>
        <v>0</v>
      </c>
      <c r="L63">
        <f t="shared" si="5"/>
        <v>0.776841412281694</v>
      </c>
      <c r="M63">
        <f t="shared" si="6"/>
        <v>-0.252519052043822</v>
      </c>
    </row>
    <row r="64" spans="1:13">
      <c r="A64">
        <v>59</v>
      </c>
      <c r="B64">
        <v>88.8698</v>
      </c>
      <c r="C64">
        <v>19.162552</v>
      </c>
      <c r="D64">
        <v>18.752383</v>
      </c>
      <c r="E64">
        <v>8.5452</v>
      </c>
      <c r="F64">
        <v>113.0153</v>
      </c>
      <c r="G64">
        <v>0</v>
      </c>
      <c r="H64">
        <f t="shared" si="1"/>
        <v>-0.0776202306369091</v>
      </c>
      <c r="I64">
        <f t="shared" si="2"/>
        <v>0.480604679269067</v>
      </c>
      <c r="J64" s="2">
        <f t="shared" si="3"/>
        <v>0</v>
      </c>
      <c r="K64">
        <f t="shared" si="4"/>
        <v>0</v>
      </c>
      <c r="L64">
        <f t="shared" si="5"/>
        <v>0.519395320730933</v>
      </c>
      <c r="M64">
        <f t="shared" si="6"/>
        <v>-0.655089988783418</v>
      </c>
    </row>
    <row r="65" spans="1:13">
      <c r="A65">
        <v>60</v>
      </c>
      <c r="B65">
        <v>59.7642</v>
      </c>
      <c r="C65">
        <v>9.039337</v>
      </c>
      <c r="D65">
        <v>19.432707</v>
      </c>
      <c r="E65">
        <v>42.9556</v>
      </c>
      <c r="F65">
        <v>50.213</v>
      </c>
      <c r="G65">
        <v>0</v>
      </c>
      <c r="H65">
        <f t="shared" si="1"/>
        <v>0.397452771456146</v>
      </c>
      <c r="I65">
        <f t="shared" si="2"/>
        <v>0.59807550753099</v>
      </c>
      <c r="J65" s="2">
        <f t="shared" si="3"/>
        <v>1</v>
      </c>
      <c r="K65">
        <f t="shared" si="4"/>
        <v>1</v>
      </c>
      <c r="L65">
        <f t="shared" si="5"/>
        <v>0.40192449246901</v>
      </c>
      <c r="M65">
        <f t="shared" si="6"/>
        <v>-0.911491037684399</v>
      </c>
    </row>
    <row r="66" spans="1:13">
      <c r="A66">
        <v>61</v>
      </c>
      <c r="B66">
        <v>34.29695</v>
      </c>
      <c r="C66">
        <v>31.876764</v>
      </c>
      <c r="D66">
        <v>12.722233</v>
      </c>
      <c r="E66">
        <v>112.9211</v>
      </c>
      <c r="F66">
        <v>79.8891</v>
      </c>
      <c r="G66">
        <v>1</v>
      </c>
      <c r="H66">
        <f t="shared" si="1"/>
        <v>0.521908099311734</v>
      </c>
      <c r="I66">
        <f t="shared" si="2"/>
        <v>0.627593835393245</v>
      </c>
      <c r="J66" s="2">
        <f t="shared" si="3"/>
        <v>1</v>
      </c>
      <c r="K66">
        <f t="shared" si="4"/>
        <v>0</v>
      </c>
      <c r="L66">
        <f t="shared" si="5"/>
        <v>0.627593835393245</v>
      </c>
      <c r="M66">
        <f t="shared" si="6"/>
        <v>-0.465862080680671</v>
      </c>
    </row>
    <row r="67" spans="1:13">
      <c r="A67">
        <v>62</v>
      </c>
      <c r="B67">
        <v>75.8255</v>
      </c>
      <c r="C67">
        <v>11.58989</v>
      </c>
      <c r="D67">
        <v>0.627803</v>
      </c>
      <c r="E67">
        <v>5.2996</v>
      </c>
      <c r="F67">
        <v>44.2507</v>
      </c>
      <c r="G67">
        <v>1</v>
      </c>
      <c r="H67">
        <f t="shared" si="1"/>
        <v>2.30424167678574</v>
      </c>
      <c r="I67">
        <f t="shared" si="2"/>
        <v>0.909227724092382</v>
      </c>
      <c r="J67" s="2">
        <f t="shared" si="3"/>
        <v>1</v>
      </c>
      <c r="K67">
        <f t="shared" si="4"/>
        <v>0</v>
      </c>
      <c r="L67">
        <f t="shared" si="5"/>
        <v>0.909227724092382</v>
      </c>
      <c r="M67">
        <f t="shared" si="6"/>
        <v>-0.0951596946261676</v>
      </c>
    </row>
    <row r="68" spans="1:13">
      <c r="A68">
        <v>63</v>
      </c>
      <c r="B68">
        <v>60.2852</v>
      </c>
      <c r="C68">
        <v>15.595087</v>
      </c>
      <c r="D68">
        <v>11.274884</v>
      </c>
      <c r="E68">
        <v>2.5413</v>
      </c>
      <c r="F68">
        <v>4.9297</v>
      </c>
      <c r="G68">
        <v>1</v>
      </c>
      <c r="H68">
        <f t="shared" si="1"/>
        <v>1.73299409522062</v>
      </c>
      <c r="I68">
        <f t="shared" si="2"/>
        <v>0.849794997321863</v>
      </c>
      <c r="J68" s="2">
        <f t="shared" si="3"/>
        <v>1</v>
      </c>
      <c r="K68">
        <f t="shared" si="4"/>
        <v>0</v>
      </c>
      <c r="L68">
        <f t="shared" si="5"/>
        <v>0.849794997321863</v>
      </c>
      <c r="M68">
        <f t="shared" si="6"/>
        <v>-0.162760138207595</v>
      </c>
    </row>
    <row r="69" spans="1:13">
      <c r="A69">
        <v>64</v>
      </c>
      <c r="B69">
        <v>52.3274</v>
      </c>
      <c r="C69">
        <v>17.14946</v>
      </c>
      <c r="D69">
        <v>7.472365</v>
      </c>
      <c r="E69">
        <v>26.5126</v>
      </c>
      <c r="F69">
        <v>175.0055</v>
      </c>
      <c r="G69">
        <v>0</v>
      </c>
      <c r="H69">
        <f t="shared" si="1"/>
        <v>1.34825447019215</v>
      </c>
      <c r="I69">
        <f t="shared" si="2"/>
        <v>0.793844108921048</v>
      </c>
      <c r="J69" s="2">
        <f t="shared" si="3"/>
        <v>1</v>
      </c>
      <c r="K69">
        <f t="shared" si="4"/>
        <v>1</v>
      </c>
      <c r="L69">
        <f t="shared" si="5"/>
        <v>0.206155891078952</v>
      </c>
      <c r="M69">
        <f t="shared" si="6"/>
        <v>-1.57912264357514</v>
      </c>
    </row>
    <row r="70" spans="1:13">
      <c r="A70">
        <v>65</v>
      </c>
      <c r="B70">
        <v>112.3224</v>
      </c>
      <c r="C70">
        <v>20.515362</v>
      </c>
      <c r="D70">
        <v>19.081599</v>
      </c>
      <c r="E70">
        <v>133.4654</v>
      </c>
      <c r="F70">
        <v>41.1876</v>
      </c>
      <c r="G70">
        <v>0</v>
      </c>
      <c r="H70">
        <f t="shared" si="1"/>
        <v>-1.6644847210567</v>
      </c>
      <c r="I70">
        <f t="shared" si="2"/>
        <v>0.159160894717126</v>
      </c>
      <c r="J70" s="2">
        <f t="shared" si="3"/>
        <v>0</v>
      </c>
      <c r="K70">
        <f t="shared" si="4"/>
        <v>0</v>
      </c>
      <c r="L70">
        <f t="shared" si="5"/>
        <v>0.840839105282874</v>
      </c>
      <c r="M70">
        <f t="shared" si="6"/>
        <v>-0.173354950887621</v>
      </c>
    </row>
    <row r="71" spans="1:13">
      <c r="A71">
        <v>66</v>
      </c>
      <c r="B71">
        <v>1112.9494</v>
      </c>
      <c r="C71">
        <v>10.174992</v>
      </c>
      <c r="D71">
        <v>10.034998</v>
      </c>
      <c r="E71">
        <v>5.727</v>
      </c>
      <c r="F71">
        <v>85.4518</v>
      </c>
      <c r="G71">
        <v>0</v>
      </c>
      <c r="H71">
        <f t="shared" ref="H71:H92" si="7">SUMPRODUCT($B$4:$F$4,B71:F71)+$G$4</f>
        <v>-19.8334995209067</v>
      </c>
      <c r="I71">
        <f t="shared" ref="I71:I92" si="8">1/(1+EXP(0-H71))</f>
        <v>2.43456066110598e-9</v>
      </c>
      <c r="J71" s="2">
        <f t="shared" ref="J71:J92" si="9">IF(I71&gt;0.5,1,0)</f>
        <v>0</v>
      </c>
      <c r="K71">
        <f t="shared" ref="K71:K92" si="10">IF(G71=J71,0,1)</f>
        <v>0</v>
      </c>
      <c r="L71">
        <f t="shared" ref="L71:L92" si="11">IF(G71=1,I71,1-I71)</f>
        <v>0.999999997565439</v>
      </c>
      <c r="M71">
        <f t="shared" ref="M71:M92" si="12">IF(L71=0,-1000000,LN(L71))</f>
        <v>-2.4345606671409e-9</v>
      </c>
    </row>
    <row r="72" spans="1:13">
      <c r="A72">
        <v>67</v>
      </c>
      <c r="B72">
        <v>20.9319</v>
      </c>
      <c r="C72">
        <v>27.724731</v>
      </c>
      <c r="D72">
        <v>9.843728</v>
      </c>
      <c r="E72">
        <v>15.7706</v>
      </c>
      <c r="F72">
        <v>20.2186</v>
      </c>
      <c r="G72">
        <v>1</v>
      </c>
      <c r="H72">
        <f t="shared" si="7"/>
        <v>2.37530395252521</v>
      </c>
      <c r="I72">
        <f t="shared" si="8"/>
        <v>0.91492461690059</v>
      </c>
      <c r="J72" s="2">
        <f t="shared" si="9"/>
        <v>1</v>
      </c>
      <c r="K72">
        <f t="shared" si="10"/>
        <v>0</v>
      </c>
      <c r="L72">
        <f t="shared" si="11"/>
        <v>0.91492461690059</v>
      </c>
      <c r="M72">
        <f t="shared" si="12"/>
        <v>-0.088913603001515</v>
      </c>
    </row>
    <row r="73" spans="1:13">
      <c r="A73">
        <v>68</v>
      </c>
      <c r="B73">
        <v>2795.6318</v>
      </c>
      <c r="C73">
        <v>10.682173</v>
      </c>
      <c r="D73">
        <v>4.24337</v>
      </c>
      <c r="E73">
        <v>10.2114</v>
      </c>
      <c r="F73">
        <v>36.3459</v>
      </c>
      <c r="G73">
        <v>0</v>
      </c>
      <c r="H73">
        <f t="shared" si="7"/>
        <v>-53.3280824861129</v>
      </c>
      <c r="I73">
        <f t="shared" si="8"/>
        <v>6.9168450341375e-24</v>
      </c>
      <c r="J73" s="2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>
      <c r="A74">
        <v>69</v>
      </c>
      <c r="B74">
        <v>124.7378</v>
      </c>
      <c r="C74">
        <v>23.328166</v>
      </c>
      <c r="D74">
        <v>13.236072</v>
      </c>
      <c r="E74">
        <v>40.8498</v>
      </c>
      <c r="F74">
        <v>80.8038</v>
      </c>
      <c r="G74">
        <v>0</v>
      </c>
      <c r="H74">
        <f t="shared" si="7"/>
        <v>-0.527946437540449</v>
      </c>
      <c r="I74">
        <f t="shared" si="8"/>
        <v>0.370995976095299</v>
      </c>
      <c r="J74" s="2">
        <f t="shared" si="9"/>
        <v>0</v>
      </c>
      <c r="K74">
        <f t="shared" si="10"/>
        <v>0</v>
      </c>
      <c r="L74">
        <f t="shared" si="11"/>
        <v>0.629004023904701</v>
      </c>
      <c r="M74">
        <f t="shared" si="12"/>
        <v>-0.463617624997388</v>
      </c>
    </row>
    <row r="75" spans="1:13">
      <c r="A75">
        <v>70</v>
      </c>
      <c r="B75">
        <v>461.4308</v>
      </c>
      <c r="C75">
        <v>20.47879</v>
      </c>
      <c r="D75">
        <v>9.066219</v>
      </c>
      <c r="E75">
        <v>15.6796</v>
      </c>
      <c r="F75">
        <v>88.8387</v>
      </c>
      <c r="G75">
        <v>0</v>
      </c>
      <c r="H75">
        <f t="shared" si="7"/>
        <v>-6.70220618836002</v>
      </c>
      <c r="I75">
        <f t="shared" si="8"/>
        <v>0.00122669264952856</v>
      </c>
      <c r="J75" s="2">
        <f t="shared" si="9"/>
        <v>0</v>
      </c>
      <c r="K75">
        <f t="shared" si="10"/>
        <v>0</v>
      </c>
      <c r="L75">
        <f t="shared" si="11"/>
        <v>0.998773307350471</v>
      </c>
      <c r="M75">
        <f t="shared" si="12"/>
        <v>-0.00122744565282217</v>
      </c>
    </row>
    <row r="76" spans="1:13">
      <c r="A76">
        <v>71</v>
      </c>
      <c r="B76">
        <v>120.726</v>
      </c>
      <c r="C76">
        <v>23.97214</v>
      </c>
      <c r="D76">
        <v>10.747151</v>
      </c>
      <c r="E76">
        <v>12.6636</v>
      </c>
      <c r="F76">
        <v>61.7244</v>
      </c>
      <c r="G76">
        <v>0</v>
      </c>
      <c r="H76">
        <f t="shared" si="7"/>
        <v>0.165187463025558</v>
      </c>
      <c r="I76">
        <f t="shared" si="8"/>
        <v>0.541203216009103</v>
      </c>
      <c r="J76" s="2">
        <f t="shared" si="9"/>
        <v>1</v>
      </c>
      <c r="K76">
        <f t="shared" si="10"/>
        <v>1</v>
      </c>
      <c r="L76">
        <f t="shared" si="11"/>
        <v>0.458796783990897</v>
      </c>
      <c r="M76">
        <f t="shared" si="12"/>
        <v>-0.779147903361565</v>
      </c>
    </row>
    <row r="77" spans="1:13">
      <c r="A77">
        <v>72</v>
      </c>
      <c r="B77">
        <v>18.13685</v>
      </c>
      <c r="C77">
        <v>42.19291</v>
      </c>
      <c r="D77">
        <v>10.350371</v>
      </c>
      <c r="E77">
        <v>3.7098</v>
      </c>
      <c r="F77">
        <v>46.8153</v>
      </c>
      <c r="G77">
        <v>1</v>
      </c>
      <c r="H77">
        <f t="shared" si="7"/>
        <v>2.29638396371733</v>
      </c>
      <c r="I77">
        <f t="shared" si="8"/>
        <v>0.908577117314346</v>
      </c>
      <c r="J77" s="2">
        <f t="shared" si="9"/>
        <v>1</v>
      </c>
      <c r="K77">
        <f t="shared" si="10"/>
        <v>0</v>
      </c>
      <c r="L77">
        <f t="shared" si="11"/>
        <v>0.908577117314346</v>
      </c>
      <c r="M77">
        <f t="shared" si="12"/>
        <v>-0.0958755105278488</v>
      </c>
    </row>
    <row r="78" spans="1:13">
      <c r="A78">
        <v>73</v>
      </c>
      <c r="B78">
        <v>44.6032</v>
      </c>
      <c r="C78">
        <v>24.625838</v>
      </c>
      <c r="D78">
        <v>22.360833</v>
      </c>
      <c r="E78">
        <v>2.0908</v>
      </c>
      <c r="F78">
        <v>29.3162</v>
      </c>
      <c r="G78">
        <v>1</v>
      </c>
      <c r="H78">
        <f t="shared" si="7"/>
        <v>0.815264414479793</v>
      </c>
      <c r="I78">
        <f t="shared" si="8"/>
        <v>0.69323018313634</v>
      </c>
      <c r="J78" s="2">
        <f t="shared" si="9"/>
        <v>1</v>
      </c>
      <c r="K78">
        <f t="shared" si="10"/>
        <v>0</v>
      </c>
      <c r="L78">
        <f t="shared" si="11"/>
        <v>0.69323018313634</v>
      </c>
      <c r="M78">
        <f t="shared" si="12"/>
        <v>-0.366393180345467</v>
      </c>
    </row>
    <row r="79" spans="1:13">
      <c r="A79">
        <v>74</v>
      </c>
      <c r="B79">
        <v>78.211</v>
      </c>
      <c r="C79">
        <v>10.045872</v>
      </c>
      <c r="D79">
        <v>23.183486</v>
      </c>
      <c r="E79">
        <v>5.5046</v>
      </c>
      <c r="F79">
        <v>51.7523</v>
      </c>
      <c r="G79">
        <v>1</v>
      </c>
      <c r="H79">
        <f t="shared" si="7"/>
        <v>0.0463245112940305</v>
      </c>
      <c r="I79">
        <f t="shared" si="8"/>
        <v>0.511579057214428</v>
      </c>
      <c r="J79" s="2">
        <f t="shared" si="9"/>
        <v>1</v>
      </c>
      <c r="K79">
        <f t="shared" si="10"/>
        <v>0</v>
      </c>
      <c r="L79">
        <f t="shared" si="11"/>
        <v>0.511579057214428</v>
      </c>
      <c r="M79">
        <f t="shared" si="12"/>
        <v>-0.670253145974555</v>
      </c>
    </row>
    <row r="80" spans="1:13">
      <c r="A80">
        <v>75</v>
      </c>
      <c r="B80">
        <v>422.8962</v>
      </c>
      <c r="C80">
        <v>31.747117</v>
      </c>
      <c r="D80">
        <v>11.610423</v>
      </c>
      <c r="E80">
        <v>76.0358</v>
      </c>
      <c r="F80">
        <v>233.4579</v>
      </c>
      <c r="G80">
        <v>0</v>
      </c>
      <c r="H80">
        <f t="shared" si="7"/>
        <v>-7.45297888120426</v>
      </c>
      <c r="I80">
        <f t="shared" si="8"/>
        <v>0.000579376272461936</v>
      </c>
      <c r="J80" s="2">
        <f t="shared" si="9"/>
        <v>0</v>
      </c>
      <c r="K80">
        <f t="shared" si="10"/>
        <v>0</v>
      </c>
      <c r="L80">
        <f t="shared" si="11"/>
        <v>0.999420623727538</v>
      </c>
      <c r="M80">
        <f t="shared" si="12"/>
        <v>-0.000579544175750428</v>
      </c>
    </row>
    <row r="81" spans="1:13">
      <c r="A81">
        <v>76</v>
      </c>
      <c r="B81">
        <v>189.781</v>
      </c>
      <c r="C81">
        <v>35.808133</v>
      </c>
      <c r="D81">
        <v>12.294056</v>
      </c>
      <c r="E81">
        <v>135.5578</v>
      </c>
      <c r="F81">
        <v>170.464</v>
      </c>
      <c r="G81">
        <v>0</v>
      </c>
      <c r="H81">
        <f t="shared" si="7"/>
        <v>-3.21416928377225</v>
      </c>
      <c r="I81">
        <f t="shared" si="8"/>
        <v>0.0386359755329002</v>
      </c>
      <c r="J81" s="2">
        <f t="shared" si="9"/>
        <v>0</v>
      </c>
      <c r="K81">
        <f t="shared" si="10"/>
        <v>0</v>
      </c>
      <c r="L81">
        <f t="shared" si="11"/>
        <v>0.9613640244671</v>
      </c>
      <c r="M81">
        <f t="shared" si="12"/>
        <v>-0.0394021441651082</v>
      </c>
    </row>
    <row r="82" spans="1:13">
      <c r="A82">
        <v>77</v>
      </c>
      <c r="B82">
        <v>267.4094</v>
      </c>
      <c r="C82">
        <v>43.604457</v>
      </c>
      <c r="D82">
        <v>6.178273</v>
      </c>
      <c r="E82">
        <v>135.9332</v>
      </c>
      <c r="F82">
        <v>206.0585</v>
      </c>
      <c r="G82">
        <v>0</v>
      </c>
      <c r="H82">
        <f t="shared" si="7"/>
        <v>-4.39865649899942</v>
      </c>
      <c r="I82">
        <f t="shared" si="8"/>
        <v>0.0121445424765731</v>
      </c>
      <c r="J82" s="2">
        <f t="shared" si="9"/>
        <v>0</v>
      </c>
      <c r="K82">
        <f t="shared" si="10"/>
        <v>0</v>
      </c>
      <c r="L82">
        <f t="shared" si="11"/>
        <v>0.987855457523427</v>
      </c>
      <c r="M82">
        <f t="shared" si="12"/>
        <v>-0.0122188899900849</v>
      </c>
    </row>
    <row r="83" spans="1:13">
      <c r="A83">
        <v>78</v>
      </c>
      <c r="B83">
        <v>660.6364</v>
      </c>
      <c r="C83">
        <v>38.904635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</v>
      </c>
      <c r="I83">
        <f t="shared" si="8"/>
        <v>5.53038545058407e-6</v>
      </c>
      <c r="J83" s="2">
        <f t="shared" si="9"/>
        <v>0</v>
      </c>
      <c r="K83">
        <f t="shared" si="10"/>
        <v>0</v>
      </c>
      <c r="L83">
        <f t="shared" si="11"/>
        <v>0.999994469614549</v>
      </c>
      <c r="M83">
        <f t="shared" si="12"/>
        <v>-5.5304007432297e-6</v>
      </c>
    </row>
    <row r="84" spans="1:13">
      <c r="A84">
        <v>79</v>
      </c>
      <c r="B84">
        <v>238.983</v>
      </c>
      <c r="C84">
        <v>31.110169</v>
      </c>
      <c r="D84">
        <v>34.54661</v>
      </c>
      <c r="E84">
        <v>83.8984</v>
      </c>
      <c r="F84">
        <v>154.661</v>
      </c>
      <c r="G84">
        <v>0</v>
      </c>
      <c r="H84">
        <f t="shared" si="7"/>
        <v>-5.72379326930707</v>
      </c>
      <c r="I84">
        <f t="shared" si="8"/>
        <v>0.00325665319924742</v>
      </c>
      <c r="J84" s="2">
        <f t="shared" si="9"/>
        <v>0</v>
      </c>
      <c r="K84">
        <f t="shared" si="10"/>
        <v>0</v>
      </c>
      <c r="L84">
        <f t="shared" si="11"/>
        <v>0.996743346800753</v>
      </c>
      <c r="M84">
        <f t="shared" si="12"/>
        <v>-0.00326196763559835</v>
      </c>
    </row>
    <row r="85" spans="1:13">
      <c r="A85">
        <v>80</v>
      </c>
      <c r="B85">
        <v>66.7362</v>
      </c>
      <c r="C85">
        <v>69.739312</v>
      </c>
      <c r="D85">
        <v>16.05376</v>
      </c>
      <c r="E85">
        <v>21.3186</v>
      </c>
      <c r="F85">
        <v>106.103</v>
      </c>
      <c r="G85">
        <v>0</v>
      </c>
      <c r="H85">
        <f t="shared" si="7"/>
        <v>0.121917200721283</v>
      </c>
      <c r="I85">
        <f t="shared" si="8"/>
        <v>0.530441603016753</v>
      </c>
      <c r="J85" s="2">
        <f t="shared" si="9"/>
        <v>1</v>
      </c>
      <c r="K85">
        <f t="shared" si="10"/>
        <v>1</v>
      </c>
      <c r="L85">
        <f t="shared" si="11"/>
        <v>0.469558396983247</v>
      </c>
      <c r="M85">
        <f t="shared" si="12"/>
        <v>-0.755962606847549</v>
      </c>
    </row>
    <row r="86" spans="1:13">
      <c r="A86">
        <v>81</v>
      </c>
      <c r="B86">
        <v>57.9064</v>
      </c>
      <c r="C86">
        <v>63.747216</v>
      </c>
      <c r="D86">
        <v>17.934298</v>
      </c>
      <c r="E86">
        <v>26.726</v>
      </c>
      <c r="F86">
        <v>60.6347</v>
      </c>
      <c r="G86">
        <v>0</v>
      </c>
      <c r="H86">
        <f t="shared" si="7"/>
        <v>0.280975714483972</v>
      </c>
      <c r="I86">
        <f t="shared" si="8"/>
        <v>0.569785417094193</v>
      </c>
      <c r="J86" s="2">
        <f t="shared" si="9"/>
        <v>1</v>
      </c>
      <c r="K86">
        <f t="shared" si="10"/>
        <v>1</v>
      </c>
      <c r="L86">
        <f t="shared" si="11"/>
        <v>0.430214582905807</v>
      </c>
      <c r="M86">
        <f t="shared" si="12"/>
        <v>-0.843471164755093</v>
      </c>
    </row>
    <row r="87" spans="1:13">
      <c r="A87">
        <v>82</v>
      </c>
      <c r="B87">
        <v>220.82635</v>
      </c>
      <c r="C87">
        <v>17.761027</v>
      </c>
      <c r="D87">
        <v>3.076494</v>
      </c>
      <c r="E87">
        <v>217.7554</v>
      </c>
      <c r="F87">
        <v>235.7393</v>
      </c>
      <c r="G87">
        <v>1</v>
      </c>
      <c r="H87">
        <f t="shared" si="7"/>
        <v>-3.93643630092709</v>
      </c>
      <c r="I87">
        <f t="shared" si="8"/>
        <v>0.0191440001552302</v>
      </c>
      <c r="J87" s="2">
        <f t="shared" si="9"/>
        <v>0</v>
      </c>
      <c r="K87">
        <f t="shared" si="10"/>
        <v>1</v>
      </c>
      <c r="L87">
        <f t="shared" si="11"/>
        <v>0.0191440001552302</v>
      </c>
      <c r="M87">
        <f t="shared" si="12"/>
        <v>-3.95576592026751</v>
      </c>
    </row>
    <row r="88" spans="1:13">
      <c r="A88">
        <v>83</v>
      </c>
      <c r="B88">
        <v>37.33975</v>
      </c>
      <c r="C88">
        <v>40.123892</v>
      </c>
      <c r="D88">
        <v>30.374258</v>
      </c>
      <c r="E88">
        <v>20.6487</v>
      </c>
      <c r="F88">
        <v>167.6312</v>
      </c>
      <c r="G88">
        <v>1</v>
      </c>
      <c r="H88">
        <f t="shared" si="7"/>
        <v>-0.663284689774748</v>
      </c>
      <c r="I88">
        <f t="shared" si="8"/>
        <v>0.340002138004669</v>
      </c>
      <c r="J88" s="2">
        <f t="shared" si="9"/>
        <v>0</v>
      </c>
      <c r="K88">
        <f t="shared" si="10"/>
        <v>1</v>
      </c>
      <c r="L88">
        <f t="shared" si="11"/>
        <v>0.340002138004669</v>
      </c>
      <c r="M88">
        <f t="shared" si="12"/>
        <v>-1.07880337314267</v>
      </c>
    </row>
    <row r="89" spans="1:13">
      <c r="A89">
        <v>84</v>
      </c>
      <c r="B89">
        <v>14.4737</v>
      </c>
      <c r="C89">
        <v>140.934211</v>
      </c>
      <c r="D89">
        <v>9.342105</v>
      </c>
      <c r="E89">
        <v>3.0702</v>
      </c>
      <c r="F89">
        <v>37.5965</v>
      </c>
      <c r="G89">
        <v>1</v>
      </c>
      <c r="H89">
        <f t="shared" si="7"/>
        <v>1.72671917225799</v>
      </c>
      <c r="I89">
        <f t="shared" si="8"/>
        <v>0.848992285176187</v>
      </c>
      <c r="J89" s="2">
        <f t="shared" si="9"/>
        <v>1</v>
      </c>
      <c r="K89">
        <f t="shared" si="10"/>
        <v>0</v>
      </c>
      <c r="L89">
        <f t="shared" si="11"/>
        <v>0.848992285176187</v>
      </c>
      <c r="M89">
        <f t="shared" si="12"/>
        <v>-0.163705179665919</v>
      </c>
    </row>
    <row r="90" spans="1:13">
      <c r="A90">
        <v>85</v>
      </c>
      <c r="B90">
        <v>1269.2434</v>
      </c>
      <c r="C90">
        <v>18.659201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-24.7876956567007</v>
      </c>
      <c r="I90">
        <f t="shared" si="8"/>
        <v>1.71727780611713e-11</v>
      </c>
      <c r="J90" s="2">
        <f t="shared" si="9"/>
        <v>0</v>
      </c>
      <c r="K90">
        <f t="shared" si="10"/>
        <v>0</v>
      </c>
      <c r="L90">
        <f t="shared" si="11"/>
        <v>0.999999999982827</v>
      </c>
      <c r="M90">
        <f t="shared" si="12"/>
        <v>-1.71728187227469e-11</v>
      </c>
    </row>
    <row r="91" spans="1:13">
      <c r="A91">
        <v>86</v>
      </c>
      <c r="B91">
        <v>192.027</v>
      </c>
      <c r="C91">
        <v>30.881527</v>
      </c>
      <c r="D91">
        <v>24.188658</v>
      </c>
      <c r="E91">
        <v>59.5172</v>
      </c>
      <c r="F91">
        <v>100.2386</v>
      </c>
      <c r="G91">
        <v>0</v>
      </c>
      <c r="H91">
        <f t="shared" si="7"/>
        <v>-3.2932812337693</v>
      </c>
      <c r="I91">
        <f t="shared" si="8"/>
        <v>0.0358024030662294</v>
      </c>
      <c r="J91" s="2">
        <f t="shared" si="9"/>
        <v>0</v>
      </c>
      <c r="K91">
        <f t="shared" si="10"/>
        <v>0</v>
      </c>
      <c r="L91">
        <f t="shared" si="11"/>
        <v>0.964197596933771</v>
      </c>
      <c r="M91">
        <f t="shared" si="12"/>
        <v>-0.0364590293039402</v>
      </c>
    </row>
    <row r="92" spans="1:13">
      <c r="A92">
        <v>87</v>
      </c>
      <c r="B92">
        <v>220.0724</v>
      </c>
      <c r="C92">
        <v>14.933961</v>
      </c>
      <c r="D92">
        <v>13.052915</v>
      </c>
      <c r="E92">
        <v>38.3612</v>
      </c>
      <c r="F92">
        <v>125.2776</v>
      </c>
      <c r="G92">
        <v>0</v>
      </c>
      <c r="H92">
        <f t="shared" si="7"/>
        <v>-2.5229622441192</v>
      </c>
      <c r="I92">
        <f t="shared" si="8"/>
        <v>0.0742640371648982</v>
      </c>
      <c r="J92" s="2">
        <f t="shared" si="9"/>
        <v>0</v>
      </c>
      <c r="K92">
        <f t="shared" si="10"/>
        <v>0</v>
      </c>
      <c r="L92">
        <f t="shared" si="11"/>
        <v>0.925735962835102</v>
      </c>
      <c r="M92">
        <f t="shared" si="12"/>
        <v>-0.0771662223224385</v>
      </c>
    </row>
  </sheetData>
  <pageMargins left="0.7" right="0.7" top="0.75" bottom="0.75" header="0.3" footer="0.3"/>
  <pageSetup paperSize="1" orientation="portrait"/>
  <headerFooter/>
  <ignoredErrors>
    <ignoredError sqref="H6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Chí Vỹ Trần</cp:lastModifiedBy>
  <dcterms:created xsi:type="dcterms:W3CDTF">2015-06-05T18:17:00Z</dcterms:created>
  <dcterms:modified xsi:type="dcterms:W3CDTF">2025-11-18T12:07:15Z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AD033B943EE949BB8FDB7A62D09AE883_12</vt:lpwstr>
  </property>
  <property fmtid="{D5CDD505-2E9C-101B-9397-08002B2CF9AE}" pid="3" name="KSOProductBuildVer">
    <vt:lpwstr>1033-12.2.0.23155</vt:lpwstr>
  </property>
</Properties>
</file>