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temp-s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<sst xmlns="http://schemas.openxmlformats.org/spreadsheetml/2006/main" count="11" uniqueCount="10">
  <si>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Temperature (F)</t>
  </si>
  <si>
    <t>Tourists</t>
  </si>
  <si>
    <t>Sunny Days</t>
  </si>
  <si>
    <t>Ice Cream Sale (dollar in thousand)</t>
  </si>
  <si>
    <t>predicted</t>
  </si>
  <si>
    <t>error</t>
  </si>
  <si>
    <t>sunny days</t>
  </si>
  <si>
    <t>sum of error</t>
  </si>
  <si>
    <t>tourists</t>
  </si>
  <si>
    <t>y-intercept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</si>
</sst>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'temp-sale'!$D$1</c:f>
              <c:strCache>
                <c:ptCount val="1"/>
                <c:pt idx="0">
                  <c:v>Ice Cream Sale (dollar in thousand)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'temp-sale'!$D$2:$D$9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81.1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val>
        </c:ser>
        <c:ser>
          <c:idx val="1"/>
          <c:order val="1"/>
          <c:tx>
            <c:strRef>
              <c:f>'temp-sale'!$E$1</c:f>
              <c:strCache>
                <c:ptCount val="1"/>
                <c:pt idx="0">
                  <c:v>predicted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'temp-sale'!$E$2:$E$9</c:f>
              <c:numCache>
                <c:formatCode>General</c:formatCode>
                <c:ptCount val="8"/>
                <c:pt idx="0">
                  <c:v>88.7705998926749</c:v>
                </c:pt>
                <c:pt idx="1">
                  <c:v>90.3907256065278</c:v>
                </c:pt>
                <c:pt idx="2">
                  <c:v>81.0853583470458</c:v>
                </c:pt>
                <c:pt idx="3">
                  <c:v>83.1955926784927</c:v>
                </c:pt>
                <c:pt idx="4">
                  <c:v>89.8472723548037</c:v>
                </c:pt>
                <c:pt idx="5">
                  <c:v>117.195685797485</c:v>
                </c:pt>
                <c:pt idx="6">
                  <c:v>97.8089604670812</c:v>
                </c:pt>
                <c:pt idx="7">
                  <c:v>133.005804855889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27823074"/>
        <c:axId val="122141326"/>
      </c:barChart>
      <c:catAx>
        <c:axId val="6278230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141326"/>
        <c:crosses val="autoZero"/>
        <c:auto val="1"/>
        <c:lblAlgn val="ctr"/>
        <c:lblOffset val="100"/>
        <c:noMultiLvlLbl val="0"/>
      </c:catAx>
      <c:valAx>
        <c:axId val="1221413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8230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1313180</xdr:colOff>
      <xdr:row>13</xdr:row>
      <xdr:rowOff>162560</xdr:rowOff>
    </xdr:from>
    <xdr:to>
      <xdr:col>7</xdr:col>
      <xdr:colOff>408940</xdr:colOff>
      <xdr:row>28</xdr:row>
      <xdr:rowOff>162560</xdr:rowOff>
    </xdr:to>
    <xdr:graphicFrame>
      <xdr:nvGraphicFramePr>
        <xdr:cNvPr id="3" name="Chart 2"/>
        <xdr:cNvGraphicFramePr/>
      </xdr:nvGraphicFramePr>
      <xdr:xfrm>
        <a:off x="4477385" y="2540000"/>
        <a:ext cx="48234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K12" sqref="K12"/>
    </sheetView>
  </sheetViews>
  <sheetFormatPr defaultColWidth="9" defaultRowHeight="14.4" outlineLevelCol="5"/>
  <cols>
    <col min="1" max="1" width="15.5740740740741" customWidth="1"/>
    <col min="2" max="2" width="15.8518518518519" customWidth="1"/>
    <col min="3" max="3" width="14.712962962963" customWidth="1"/>
    <col min="4" max="5" width="32.4259259259259" customWidth="1"/>
    <col min="6" max="6" width="9.6666666666666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>
        <v>91</v>
      </c>
      <c r="B2" s="1">
        <v>998</v>
      </c>
      <c r="C2" s="1">
        <v>4</v>
      </c>
      <c r="D2" s="1">
        <v>89.8</v>
      </c>
      <c r="E2">
        <f>A2*C$13+B2*C$12+C2*C$11+C$14</f>
        <v>88.7705998926749</v>
      </c>
      <c r="F2">
        <f>POWER(D2-E2,2)</f>
        <v>1.05966458096102</v>
      </c>
    </row>
    <row r="3" spans="1:6">
      <c r="A3" s="1">
        <v>87</v>
      </c>
      <c r="B3" s="1">
        <v>1256</v>
      </c>
      <c r="C3" s="1">
        <v>7</v>
      </c>
      <c r="D3" s="1">
        <v>90.2</v>
      </c>
      <c r="E3">
        <f t="shared" ref="E3:E9" si="0">A3*C$13+B3*C$12+C3*C$11+C$14</f>
        <v>90.3907256065278</v>
      </c>
      <c r="F3">
        <f t="shared" ref="F3:F9" si="1">POWER(D3-E3,2)</f>
        <v>0.0363762569853887</v>
      </c>
    </row>
    <row r="4" spans="1:6">
      <c r="A4" s="1">
        <v>86</v>
      </c>
      <c r="B4" s="1">
        <v>791</v>
      </c>
      <c r="C4" s="1">
        <v>6</v>
      </c>
      <c r="D4" s="1">
        <v>81.1</v>
      </c>
      <c r="E4">
        <f t="shared" si="0"/>
        <v>81.0853583470458</v>
      </c>
      <c r="F4">
        <f t="shared" si="1"/>
        <v>0.000214378001230302</v>
      </c>
    </row>
    <row r="5" spans="1:6">
      <c r="A5" s="1">
        <v>88</v>
      </c>
      <c r="B5" s="1">
        <v>705</v>
      </c>
      <c r="C5" s="1">
        <v>5</v>
      </c>
      <c r="D5" s="1">
        <v>83</v>
      </c>
      <c r="E5">
        <f t="shared" si="0"/>
        <v>83.1955926784927</v>
      </c>
      <c r="F5">
        <f t="shared" si="1"/>
        <v>0.0382564958799438</v>
      </c>
    </row>
    <row r="6" spans="1:6">
      <c r="A6" s="1">
        <v>92.8</v>
      </c>
      <c r="B6" s="1">
        <v>1089</v>
      </c>
      <c r="C6" s="1">
        <v>3</v>
      </c>
      <c r="D6" s="1">
        <v>90.9</v>
      </c>
      <c r="E6">
        <f t="shared" si="0"/>
        <v>89.8472723548037</v>
      </c>
      <c r="F6">
        <f t="shared" si="1"/>
        <v>1.10823549496046</v>
      </c>
    </row>
    <row r="7" spans="1:6">
      <c r="A7" s="1">
        <v>95.2</v>
      </c>
      <c r="B7" s="1">
        <v>1135</v>
      </c>
      <c r="C7" s="1">
        <v>6</v>
      </c>
      <c r="D7" s="1">
        <v>119</v>
      </c>
      <c r="E7">
        <f t="shared" si="0"/>
        <v>117.195685797485</v>
      </c>
      <c r="F7">
        <f t="shared" si="1"/>
        <v>3.25554974139714</v>
      </c>
    </row>
    <row r="8" spans="1:6">
      <c r="A8" s="1">
        <v>93.3</v>
      </c>
      <c r="B8" s="1">
        <v>1076</v>
      </c>
      <c r="C8" s="1">
        <v>4</v>
      </c>
      <c r="D8" s="1">
        <v>94.9</v>
      </c>
      <c r="E8">
        <f t="shared" si="0"/>
        <v>97.8089604670812</v>
      </c>
      <c r="F8">
        <f t="shared" si="1"/>
        <v>8.46205099904153</v>
      </c>
    </row>
    <row r="9" spans="1:6">
      <c r="A9" s="1">
        <v>97.7</v>
      </c>
      <c r="B9" s="1">
        <v>1198</v>
      </c>
      <c r="C9" s="1">
        <v>7</v>
      </c>
      <c r="D9" s="1">
        <v>132.4</v>
      </c>
      <c r="E9">
        <f t="shared" si="0"/>
        <v>133.005804855889</v>
      </c>
      <c r="F9">
        <f t="shared" si="1"/>
        <v>0.366999523418595</v>
      </c>
    </row>
    <row r="11" spans="1:5">
      <c r="A11" t="s">
        <v>6</v>
      </c>
      <c r="B11">
        <v>1</v>
      </c>
      <c r="C11" s="2" cm="1">
        <f t="array" ref="C11">INDEX(LINEST(D$2:D$9,A$2:C$9,TRUE,TRUE),1,B11)</f>
        <v>5.95646552855966</v>
      </c>
      <c r="D11" t="s">
        <v>7</v>
      </c>
      <c r="E11" s="3">
        <f>SUM(F2:F9)</f>
        <v>14.3273474706453</v>
      </c>
    </row>
    <row r="12" spans="1:3">
      <c r="A12" t="s">
        <v>8</v>
      </c>
      <c r="B12">
        <v>2</v>
      </c>
      <c r="C12" s="2" cm="1">
        <f t="array" ref="C12">INDEX(LINEST(D$2:D$9,A$2:C$9,TRUE,TRUE),1,B12)</f>
        <v>-0.00134733897456874</v>
      </c>
    </row>
    <row r="13" spans="1:3">
      <c r="A13" t="s">
        <v>0</v>
      </c>
      <c r="B13">
        <v>3</v>
      </c>
      <c r="C13" s="2" cm="1">
        <f t="array" ref="C13">INDEX(LINEST(D$2:D$9,A$2:C$9,TRUE,TRUE),1,B13)</f>
        <v>3.97541435409683</v>
      </c>
    </row>
    <row r="14" spans="1:3">
      <c r="A14" t="s">
        <v>9</v>
      </c>
      <c r="B14">
        <v>4</v>
      </c>
      <c r="C14" s="2" cm="1">
        <f t="array" ref="C14">INDEX(LINEST(D$2:D$9,A$2:C$9,TRUE,TRUE),1,B14)</f>
        <v>-295.473324147756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temp-sale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Chí Vỹ Trần</cp:lastModifiedBy>
  <dcterms:created xsi:type="dcterms:W3CDTF">2015-06-05T18:17:00Z</dcterms:created>
  <dcterms:modified xsi:type="dcterms:W3CDTF">2025-11-18T08:52:46Z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C0D5FA8334884D6DBA2DBD85DE978CC9_12</vt:lpwstr>
  </property>
  <property fmtid="{D5CDD505-2E9C-101B-9397-08002B2CF9AE}" pid="3" name="KSOProductBuildVer">
    <vt:lpwstr>1033-12.2.0.23155</vt:lpwstr>
  </property>
</Properties>
</file>