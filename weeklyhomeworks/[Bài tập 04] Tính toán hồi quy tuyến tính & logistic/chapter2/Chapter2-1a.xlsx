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771" windowHeight="9467"/>
  </bookViews>
  <sheets>
    <sheet name="temp-sa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<sst xmlns="http://schemas.openxmlformats.org/spreadsheetml/2006/main" count="11" uniqueCount="11">
  <si>
    <t>Temperature (F)</t>
  </si>
  <si>
    <t>Ice Cream Sale (dollar in thousand)</t>
  </si>
  <si>
    <t xml:space="preserve">sum x </t>
  </si>
  <si>
    <t>sum y</t>
  </si>
  <si>
    <t>sum xy</t>
  </si>
  <si>
    <t>sum x^2</t>
  </si>
  <si>
    <t>n</t>
  </si>
  <si>
    <t>m</t>
  </si>
  <si>
    <t>b</t>
  </si>
  <si>
    <t>Scoring Data</t>
  </si>
  <si>
    <t>Prediction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</si>
</sst>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2"/>
      <color theme="1"/>
      <name val="Calibri"/>
      <charset val="134"/>
      <scheme val="minor"/>
    </font>
    <font>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xf numFmtId="0" fontId="2" fillId="0" borderId="0" xfId="0" applyFont="1"/>
    <xf numFmtId="0" fontId="1" fillId="0" borderId="0" xfId="0" applyFont="1" applyAlignment="1">
      <alignment horizontal="center"/>
    </xf>
    <xf numFmtId="0" fontId="2" fillId="0" borderId="0" xfId="0" applyNumberFormat="1"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eetMetadata" Target="metadata.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manualLayout>
          <c:layoutTarget val="inner"/>
          <c:xMode val="edge"/>
          <c:yMode val="edge"/>
          <c:x val="0.0616578947368421"/>
          <c:y val="0.234722222222222"/>
          <c:w val="0.898013157894737"/>
          <c:h val="0.605648148148148"/>
        </c:manualLayout>
      </c:layout>
      <c:scatterChart>
        <c:scatterStyle val="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elete val="1"/>
          </c:dLbls>
          <c:trendline>
            <c:spPr>
              <a:ln w="19050" cap="rnd">
                <a:solidFill>
                  <a:schemeClr val="accent1"/>
                </a:solidFill>
                <a:prstDash val="sysDot"/>
              </a:ln>
              <a:effectLst/>
            </c:spPr>
            <c:trendlineType val="linear"/>
            <c:dispRSqr val="1"/>
            <c:dispEq val="1"/>
            <c:trendlineLbl>
              <c:layout/>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trendlineLbl>
          </c:trendline>
          <c:xVal>
            <c:numRef>
              <c:f>'temp-sale'!$A$2:$A$9</c:f>
              <c:numCache>
                <c:formatCode>General</c:formatCode>
                <c:ptCount val="8"/>
                <c:pt idx="0">
                  <c:v>91</c:v>
                </c:pt>
                <c:pt idx="1">
                  <c:v>87</c:v>
                </c:pt>
                <c:pt idx="2">
                  <c:v>86</c:v>
                </c:pt>
                <c:pt idx="3">
                  <c:v>88</c:v>
                </c:pt>
                <c:pt idx="4">
                  <c:v>92.8</c:v>
                </c:pt>
                <c:pt idx="5">
                  <c:v>95.2</c:v>
                </c:pt>
                <c:pt idx="6">
                  <c:v>93.3</c:v>
                </c:pt>
                <c:pt idx="7">
                  <c:v>97.7</c:v>
                </c:pt>
              </c:numCache>
            </c:numRef>
          </c:xVal>
          <c:yVal>
            <c:numRef>
              <c:f>'temp-sale'!$B$2:$B$9</c:f>
              <c:numCache>
                <c:formatCode>General</c:formatCode>
                <c:ptCount val="8"/>
                <c:pt idx="0">
                  <c:v>89.8</c:v>
                </c:pt>
                <c:pt idx="1">
                  <c:v>90.2</c:v>
                </c:pt>
                <c:pt idx="2">
                  <c:v>81.1</c:v>
                </c:pt>
                <c:pt idx="3">
                  <c:v>83</c:v>
                </c:pt>
                <c:pt idx="4">
                  <c:v>90.9</c:v>
                </c:pt>
                <c:pt idx="5">
                  <c:v>119</c:v>
                </c:pt>
                <c:pt idx="6">
                  <c:v>94.9</c:v>
                </c:pt>
                <c:pt idx="7">
                  <c:v>132.4</c:v>
                </c:pt>
              </c:numCache>
            </c:numRef>
          </c:yVal>
          <c:smooth val="0"/>
        </c:ser>
        <c:dLbls>
          <c:showLegendKey val="0"/>
          <c:showVal val="0"/>
          <c:showCatName val="0"/>
          <c:showSerName val="0"/>
          <c:showPercent val="0"/>
          <c:showBubbleSize val="0"/>
        </c:dLbls>
        <c:axId val="935694260"/>
        <c:axId val="33633999"/>
      </c:scatterChart>
      <c:valAx>
        <c:axId val="935694260"/>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3633999"/>
        <c:crosses val="autoZero"/>
        <c:crossBetween val="midCat"/>
      </c:valAx>
      <c:valAx>
        <c:axId val="33633999"/>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35694260"/>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0</xdr:row>
      <xdr:rowOff>0</xdr:rowOff>
    </xdr:from>
    <xdr:to>
      <xdr:col>14</xdr:col>
      <xdr:colOff>47625</xdr:colOff>
      <xdr:row>6</xdr:row>
      <xdr:rowOff>38100</xdr:rowOff>
    </xdr:to>
    <xdr:sp>
      <xdr:nvSpPr>
        <xdr:cNvPr id="2" name="TextBox 1"/>
        <xdr:cNvSpPr txBox="1"/>
      </xdr:nvSpPr>
      <xdr:spPr>
        <a:xfrm>
          <a:off x="6191250" y="0"/>
          <a:ext cx="5602605" cy="1226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the manager of a supermarket discovered a relationship between the weekly averaged daily high temperatures and the ice cream sale during summer seasons. He is now using the data he has accumulated to predict the stores ice creamsales.</a:t>
          </a:r>
          <a:endParaRPr lang="en-US" sz="1100"/>
        </a:p>
      </xdr:txBody>
    </xdr:sp>
    <xdr:clientData/>
  </xdr:twoCellAnchor>
  <xdr:twoCellAnchor>
    <xdr:from>
      <xdr:col>5</xdr:col>
      <xdr:colOff>208280</xdr:colOff>
      <xdr:row>7</xdr:row>
      <xdr:rowOff>86360</xdr:rowOff>
    </xdr:from>
    <xdr:to>
      <xdr:col>13</xdr:col>
      <xdr:colOff>96520</xdr:colOff>
      <xdr:row>21</xdr:row>
      <xdr:rowOff>162560</xdr:rowOff>
    </xdr:to>
    <xdr:graphicFrame>
      <xdr:nvGraphicFramePr>
        <xdr:cNvPr id="3" name="Chart 2"/>
        <xdr:cNvGraphicFramePr/>
      </xdr:nvGraphicFramePr>
      <xdr:xfrm>
        <a:off x="6399530" y="14732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tabSelected="1" workbookViewId="0">
      <selection activeCell="C10" sqref="C10"/>
    </sheetView>
  </sheetViews>
  <sheetFormatPr defaultColWidth="9" defaultRowHeight="14.4" outlineLevelCol="3"/>
  <cols>
    <col min="1" max="1" width="16.8518518518519" customWidth="1"/>
    <col min="2" max="2" width="35.8518518518519" customWidth="1"/>
    <col min="3" max="3" width="13.5740740740741" customWidth="1"/>
    <col min="4" max="4" width="15" customWidth="1"/>
  </cols>
  <sheetData>
    <row r="1" ht="15.6" spans="1:4">
      <c r="A1" s="1" t="s">
        <v>0</v>
      </c>
      <c r="B1" s="1" t="s">
        <v>1</v>
      </c>
      <c r="C1" s="2"/>
      <c r="D1" s="2"/>
    </row>
    <row r="2" ht="15.6" spans="1:4">
      <c r="A2" s="2">
        <v>91</v>
      </c>
      <c r="B2" s="2">
        <v>89.8</v>
      </c>
      <c r="C2" s="3"/>
      <c r="D2" s="2"/>
    </row>
    <row r="3" ht="15.6" spans="1:4">
      <c r="A3" s="2">
        <v>87</v>
      </c>
      <c r="B3" s="2">
        <v>90.2</v>
      </c>
      <c r="C3" s="3" t="s">
        <v>2</v>
      </c>
      <c r="D3" s="4">
        <f>SUM(A:A)</f>
        <v>731</v>
      </c>
    </row>
    <row r="4" ht="15.6" spans="1:4">
      <c r="A4" s="2">
        <v>86</v>
      </c>
      <c r="B4" s="2">
        <v>81.1</v>
      </c>
      <c r="C4" s="3" t="s">
        <v>3</v>
      </c>
      <c r="D4" s="4">
        <f>SUM(B:B)</f>
        <v>781.3</v>
      </c>
    </row>
    <row r="5" ht="15.6" spans="1:4">
      <c r="A5" s="2">
        <v>88</v>
      </c>
      <c r="B5" s="2">
        <v>83</v>
      </c>
      <c r="C5" s="3" t="s">
        <v>4</v>
      </c>
      <c r="D5" s="2" cm="1">
        <f t="array" ref="D5">SUMPRODUCT(A:A,B:B)</f>
        <v>71851.77</v>
      </c>
    </row>
    <row r="6" ht="15.6" spans="1:4">
      <c r="A6" s="2">
        <v>92.8</v>
      </c>
      <c r="B6" s="2">
        <v>90.9</v>
      </c>
      <c r="C6" s="3" t="s">
        <v>5</v>
      </c>
      <c r="D6" s="2" cm="1">
        <f t="array" ref="D6">SUMPRODUCT(A:A,A:A)</f>
        <v>66915.06</v>
      </c>
    </row>
    <row r="7" ht="15.6" spans="1:4">
      <c r="A7" s="2">
        <v>95.2</v>
      </c>
      <c r="B7" s="2">
        <v>119</v>
      </c>
      <c r="C7" s="3" t="s">
        <v>6</v>
      </c>
      <c r="D7" s="2">
        <f>COUNT(A:A)</f>
        <v>8</v>
      </c>
    </row>
    <row r="8" ht="15.6" spans="1:4">
      <c r="A8" s="2">
        <v>93.3</v>
      </c>
      <c r="B8" s="2">
        <v>94.9</v>
      </c>
      <c r="C8" s="3" t="s">
        <v>7</v>
      </c>
      <c r="D8">
        <f>(D7*D5-D3*D4)/(D7*D6-D3^2)</f>
        <v>3.83943386000768</v>
      </c>
    </row>
    <row r="9" ht="15.6" spans="1:4">
      <c r="A9" s="2">
        <v>97.7</v>
      </c>
      <c r="B9" s="2">
        <v>132.4</v>
      </c>
      <c r="C9" s="3" t="s">
        <v>8</v>
      </c>
      <c r="D9">
        <f>(D6*D4-D3*D5)/(D7*D6-D3^2)</f>
        <v>-253.165768958197</v>
      </c>
    </row>
    <row r="10" ht="15.6" spans="1:4">
      <c r="A10" s="2"/>
      <c r="B10" s="2"/>
      <c r="C10" s="2"/>
      <c r="D10" s="2"/>
    </row>
    <row r="11" ht="15.6" spans="1:4">
      <c r="A11" s="2"/>
      <c r="B11" s="2"/>
      <c r="C11" s="3" t="s">
        <v>9</v>
      </c>
      <c r="D11" s="1" t="s">
        <v>10</v>
      </c>
    </row>
    <row r="12" ht="15.6" spans="1:4">
      <c r="A12" s="2"/>
      <c r="B12" s="2"/>
      <c r="C12" s="2">
        <v>88.8</v>
      </c>
      <c r="D12">
        <f>D$8*C12+D$9</f>
        <v>87.7759578104854</v>
      </c>
    </row>
    <row r="13" ht="15.6" spans="1:4">
      <c r="A13" s="2"/>
      <c r="B13" s="2"/>
      <c r="C13" s="2">
        <v>96.9</v>
      </c>
      <c r="D13">
        <f>D$8*C13+D$9</f>
        <v>118.875372076548</v>
      </c>
    </row>
    <row r="14" ht="15.6" spans="1:4">
      <c r="A14" s="2"/>
      <c r="B14" s="2"/>
      <c r="C14" s="2">
        <v>94.7</v>
      </c>
      <c r="D14">
        <f>D$8*C14+D$9</f>
        <v>110.428617584531</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temp-sale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Chí Vỹ Trần</cp:lastModifiedBy>
  <dcterms:created xsi:type="dcterms:W3CDTF">2015-06-05T18:17:00Z</dcterms:created>
  <dcterms:modified xsi:type="dcterms:W3CDTF">2025-11-18T08:27:55Z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1DE40BB792264CACA71A97091A865DE5_12</vt:lpwstr>
  </property>
  <property fmtid="{D5CDD505-2E9C-101B-9397-08002B2CF9AE}" pid="3" name="KSOProductBuildVer">
    <vt:lpwstr>1033-12.2.0.23155</vt:lpwstr>
  </property>
</Properties>
</file>