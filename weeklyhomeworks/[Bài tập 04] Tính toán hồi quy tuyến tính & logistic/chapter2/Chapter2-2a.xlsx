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187"/>
  </bookViews>
  <sheets>
    <sheet name="temp-sale" sheetId="1" r:id="rId1"/>
    <sheet name="usingLinest" sheetId="7" r:id="rId2"/>
    <sheet name="UsingDataAnalysisTool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<sst xmlns="http://schemas.openxmlformats.org/spreadsheetml/2006/main" count="54" uniqueCount="43">
  <si>
    <t>Temperature (F)</t>
  </si>
  <si>
    <t>Tourists</t>
  </si>
  <si>
    <t>Sunny Days</t>
  </si>
  <si>
    <t>Ice Cream Sale (dollar in thousand)</t>
  </si>
  <si>
    <t>sunny days</t>
  </si>
  <si>
    <t>tourists</t>
  </si>
  <si>
    <t>y-intercept</t>
  </si>
  <si>
    <t xml:space="preserve">Temperature </t>
  </si>
  <si>
    <t>Predicted</t>
  </si>
  <si>
    <t>Error</t>
  </si>
  <si>
    <t>Sum of Errors</t>
  </si>
  <si>
    <t>Temperature</t>
  </si>
  <si>
    <t>Y-intercept</t>
  </si>
  <si>
    <t>Validation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</si>
  <si>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</si>
  <si>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</si>
  <si>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</si>
  <si>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</si>
  <si>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</si>
  <si>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</si>
  <si>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</si>
  <si>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</si>
  <si>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</si>
  <si>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</si>
  <si>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</si>
  <si>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</si>
  <si>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</si>
  <si>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</si>
  <si>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</si>
  <si>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</si>
  <si>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Prediction</t>
  </si>
  <si>
    <t>Predicted Sales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</si>
  <si>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</si>
  <si>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</si>
  <si>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</si>
  <si>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</si>
  <si>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</si>
  <si>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</si>
  <si>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</si>
  <si>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</si>
  <si>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X Variable 1</t>
  </si>
  <si>
    <t>X Variable 2</t>
  </si>
  <si>
    <t>X Variable 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</si>
</sst>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1" fillId="0" borderId="0" xfId="0" applyFont="1"/>
    <xf numFmtId="0" fontId="2" fillId="0" borderId="2" xfId="0" applyFont="1" applyFill="1" applyBorder="1" applyAlignment="1">
      <alignment horizontal="centerContinuous"/>
    </xf>
    <xf numFmtId="0" fontId="0" fillId="0" borderId="0" xfId="0" applyFill="1" applyBorder="1" applyAlignment="1"/>
    <xf numFmtId="0" fontId="0" fillId="0" borderId="3" xfId="0" applyFill="1" applyBorder="1" applyAlignment="1"/>
    <xf numFmtId="0" fontId="2" fillId="0" borderId="2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1" fillId="0" borderId="0" xfId="0" applyNumberFormat="1" applyFont="1"/>
    <xf numFmtId="0" fontId="1" fillId="0" borderId="0" xfId="0" applyFont="1" applyFill="1" applyBorder="1" applyAlignment="1"/>
    <xf numFmtId="0" fontId="1" fillId="0" borderId="3" xfId="0" applyFont="1" applyFill="1" applyBorder="1" applyAlignment="1"/>
    <xf numFmtId="0" fontId="1" fillId="0" borderId="4" xfId="0" applyFont="1" applyFill="1" applyBorder="1" applyAlignment="1">
      <alignment wrapText="1"/>
    </xf>
    <xf numFmtId="0" fontId="1" fillId="0" borderId="0" xfId="0" applyFont="1" applyFill="1" applyBorder="1"/>
    <xf numFmtId="0" fontId="0" fillId="0" borderId="1" xfId="0" applyBorder="1"/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tabSelected="1" workbookViewId="0">
      <selection activeCell="D14" sqref="D14"/>
    </sheetView>
  </sheetViews>
  <sheetFormatPr defaultColWidth="9" defaultRowHeight="14.4" outlineLevelCol="3"/>
  <cols>
    <col min="1" max="1" width="15.5740740740741" customWidth="1"/>
    <col min="2" max="2" width="15.8518518518519" customWidth="1"/>
    <col min="3" max="3" width="14.712962962963" customWidth="1"/>
    <col min="4" max="5" width="32.4259259259259" customWidth="1"/>
  </cols>
  <sheetData>
    <row r="1" spans="1:4">
      <c r="A1" s="15" t="s">
        <v>0</v>
      </c>
      <c r="B1" s="15" t="s">
        <v>1</v>
      </c>
      <c r="C1" s="15" t="s">
        <v>2</v>
      </c>
      <c r="D1" s="15" t="s">
        <v>3</v>
      </c>
    </row>
    <row r="2" spans="1:4">
      <c r="A2" s="15">
        <v>91</v>
      </c>
      <c r="B2" s="15">
        <v>998</v>
      </c>
      <c r="C2" s="15">
        <v>4</v>
      </c>
      <c r="D2" s="15">
        <v>89.8</v>
      </c>
    </row>
    <row r="3" spans="1:4">
      <c r="A3" s="15">
        <v>87</v>
      </c>
      <c r="B3" s="15">
        <v>1256</v>
      </c>
      <c r="C3" s="15">
        <v>7</v>
      </c>
      <c r="D3" s="15">
        <v>90.2</v>
      </c>
    </row>
    <row r="4" spans="1:4">
      <c r="A4" s="15">
        <v>86</v>
      </c>
      <c r="B4" s="15">
        <v>791</v>
      </c>
      <c r="C4" s="15">
        <v>6</v>
      </c>
      <c r="D4" s="15">
        <v>81.1</v>
      </c>
    </row>
    <row r="5" spans="1:4">
      <c r="A5" s="15">
        <v>88</v>
      </c>
      <c r="B5" s="15">
        <v>705</v>
      </c>
      <c r="C5" s="15">
        <v>5</v>
      </c>
      <c r="D5" s="15">
        <v>83</v>
      </c>
    </row>
    <row r="6" spans="1:4">
      <c r="A6" s="15">
        <v>92.8</v>
      </c>
      <c r="B6" s="15">
        <v>1089</v>
      </c>
      <c r="C6" s="15">
        <v>3</v>
      </c>
      <c r="D6" s="15">
        <v>90.9</v>
      </c>
    </row>
    <row r="7" spans="1:4">
      <c r="A7" s="15">
        <v>95.2</v>
      </c>
      <c r="B7" s="15">
        <v>1135</v>
      </c>
      <c r="C7" s="15">
        <v>6</v>
      </c>
      <c r="D7" s="15">
        <v>119</v>
      </c>
    </row>
    <row r="8" spans="1:4">
      <c r="A8" s="15">
        <v>93.3</v>
      </c>
      <c r="B8" s="15">
        <v>1076</v>
      </c>
      <c r="C8" s="15">
        <v>4</v>
      </c>
      <c r="D8" s="15">
        <v>94.9</v>
      </c>
    </row>
    <row r="9" spans="1:4">
      <c r="A9" s="15">
        <v>97.7</v>
      </c>
      <c r="B9" s="15">
        <v>1198</v>
      </c>
      <c r="C9" s="15">
        <v>7</v>
      </c>
      <c r="D9" s="15">
        <v>132.4</v>
      </c>
    </row>
    <row r="11" spans="1:3">
      <c r="A11" t="s">
        <v>4</v>
      </c>
      <c r="B11">
        <v>1</v>
      </c>
      <c r="C11" s="16" cm="1">
        <f t="array" ref="C11">INDEX(LINEST(D$2:D$9,A$2:C$9,TRUE,TRUE),1,B11)</f>
        <v>5.95646552855966</v>
      </c>
    </row>
    <row r="12" spans="1:3">
      <c r="A12" t="s">
        <v>5</v>
      </c>
      <c r="B12">
        <v>2</v>
      </c>
      <c r="C12" s="16" cm="1">
        <f t="array" ref="C12">INDEX(LINEST(D$2:D$9,A$2:C$9,TRUE,TRUE),1,B12)</f>
        <v>-0.00134733897456874</v>
      </c>
    </row>
    <row r="13" spans="1:3">
      <c r="A13" t="s">
        <v>0</v>
      </c>
      <c r="B13">
        <v>3</v>
      </c>
      <c r="C13" s="16" cm="1">
        <f t="array" ref="C13">INDEX(LINEST(D$2:D$9,A$2:C$9,TRUE,TRUE),1,B13)</f>
        <v>3.97541435409683</v>
      </c>
    </row>
    <row r="14" spans="1:3">
      <c r="A14" t="s">
        <v>6</v>
      </c>
      <c r="B14">
        <v>4</v>
      </c>
      <c r="C14" s="16" cm="1">
        <f t="array" ref="C14">INDEX(LINEST(D$2:D$9,A$2:C$9,TRUE,TRUE),1,B14)</f>
        <v>-295.473324147756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E11" sqref="E11"/>
    </sheetView>
  </sheetViews>
  <sheetFormatPr defaultColWidth="9" defaultRowHeight="14.4" outlineLevelCol="5"/>
  <cols>
    <col min="1" max="1" width="15.4259259259259" customWidth="1"/>
    <col min="2" max="2" width="10.8518518518519" customWidth="1"/>
    <col min="3" max="3" width="11.712962962963" customWidth="1"/>
    <col min="4" max="4" width="25.1388888888889" customWidth="1"/>
    <col min="5" max="5" width="14" customWidth="1"/>
    <col min="6" max="6" width="13" customWidth="1"/>
  </cols>
  <sheetData>
    <row r="1" ht="36" spans="1:6">
      <c r="A1" s="1" t="s">
        <v>7</v>
      </c>
      <c r="B1" s="1" t="s">
        <v>1</v>
      </c>
      <c r="C1" s="1" t="s">
        <v>2</v>
      </c>
      <c r="D1" s="1" t="s">
        <v>3</v>
      </c>
      <c r="E1" s="13" t="s">
        <v>8</v>
      </c>
      <c r="F1" s="13" t="s">
        <v>9</v>
      </c>
    </row>
    <row r="2" ht="18" spans="1:6">
      <c r="A2" s="2">
        <v>91</v>
      </c>
      <c r="B2" s="2">
        <v>998</v>
      </c>
      <c r="C2" s="2">
        <v>4</v>
      </c>
      <c r="D2" s="2">
        <v>89.8</v>
      </c>
      <c r="E2" s="3">
        <f>A2*C$13+B2*C$12+C2*C$11+C$14</f>
        <v>88.7705998926749</v>
      </c>
      <c r="F2" s="3">
        <f>POWER(D2-E2,2)</f>
        <v>1.05966458096102</v>
      </c>
    </row>
    <row r="3" ht="18" spans="1:6">
      <c r="A3" s="2">
        <v>87</v>
      </c>
      <c r="B3" s="2">
        <v>1256</v>
      </c>
      <c r="C3" s="2">
        <v>7</v>
      </c>
      <c r="D3" s="2">
        <v>90.2</v>
      </c>
      <c r="E3" s="3">
        <f t="shared" ref="E3:E9" si="0">A3*C$13+B3*C$12+C3*C$11+C$14</f>
        <v>90.3907256065278</v>
      </c>
      <c r="F3" s="3">
        <f t="shared" ref="F3:F9" si="1">POWER(D3-E3,2)</f>
        <v>0.0363762569853887</v>
      </c>
    </row>
    <row r="4" ht="18" spans="1:6">
      <c r="A4" s="2">
        <v>86</v>
      </c>
      <c r="B4" s="2">
        <v>791</v>
      </c>
      <c r="C4" s="2">
        <v>6</v>
      </c>
      <c r="D4" s="2">
        <v>81.1</v>
      </c>
      <c r="E4" s="3">
        <f t="shared" si="0"/>
        <v>81.0853583470458</v>
      </c>
      <c r="F4" s="3">
        <f t="shared" si="1"/>
        <v>0.000214378001230302</v>
      </c>
    </row>
    <row r="5" ht="18" spans="1:6">
      <c r="A5" s="2">
        <v>88</v>
      </c>
      <c r="B5" s="2">
        <v>705</v>
      </c>
      <c r="C5" s="2">
        <v>5</v>
      </c>
      <c r="D5" s="2">
        <v>83</v>
      </c>
      <c r="E5" s="3">
        <f t="shared" si="0"/>
        <v>83.1955926784927</v>
      </c>
      <c r="F5" s="3">
        <f t="shared" si="1"/>
        <v>0.0382564958799438</v>
      </c>
    </row>
    <row r="6" ht="18" spans="1:6">
      <c r="A6" s="2">
        <v>92.8</v>
      </c>
      <c r="B6" s="2">
        <v>1089</v>
      </c>
      <c r="C6" s="2">
        <v>3</v>
      </c>
      <c r="D6" s="2">
        <v>90.9</v>
      </c>
      <c r="E6" s="3">
        <f t="shared" si="0"/>
        <v>89.8472723548037</v>
      </c>
      <c r="F6" s="3">
        <f t="shared" si="1"/>
        <v>1.10823549496046</v>
      </c>
    </row>
    <row r="7" ht="18" spans="1:6">
      <c r="A7" s="2">
        <v>95.2</v>
      </c>
      <c r="B7" s="2">
        <v>1135</v>
      </c>
      <c r="C7" s="2">
        <v>6</v>
      </c>
      <c r="D7" s="2">
        <v>119</v>
      </c>
      <c r="E7" s="3">
        <f t="shared" si="0"/>
        <v>117.195685797485</v>
      </c>
      <c r="F7" s="3">
        <f t="shared" si="1"/>
        <v>3.25554974139714</v>
      </c>
    </row>
    <row r="8" ht="18" spans="1:6">
      <c r="A8" s="2">
        <v>93.3</v>
      </c>
      <c r="B8" s="2">
        <v>1076</v>
      </c>
      <c r="C8" s="2">
        <v>4</v>
      </c>
      <c r="D8" s="2">
        <v>94.9</v>
      </c>
      <c r="E8" s="3">
        <f t="shared" si="0"/>
        <v>97.8089604670812</v>
      </c>
      <c r="F8" s="3">
        <f t="shared" si="1"/>
        <v>8.46205099904153</v>
      </c>
    </row>
    <row r="9" ht="18" spans="1:6">
      <c r="A9" s="2">
        <v>97.7</v>
      </c>
      <c r="B9" s="2">
        <v>1198</v>
      </c>
      <c r="C9" s="2">
        <v>7</v>
      </c>
      <c r="D9" s="2">
        <v>132.4</v>
      </c>
      <c r="E9" s="3">
        <f t="shared" si="0"/>
        <v>133.005804855889</v>
      </c>
      <c r="F9" s="3">
        <f t="shared" si="1"/>
        <v>0.366999523418595</v>
      </c>
    </row>
    <row r="10" ht="18" spans="1:4">
      <c r="A10" s="3"/>
      <c r="B10" s="3"/>
      <c r="C10" s="3"/>
      <c r="D10" s="3"/>
    </row>
    <row r="11" ht="18" spans="1:5">
      <c r="A11" s="3" t="s">
        <v>2</v>
      </c>
      <c r="B11" s="3">
        <v>1</v>
      </c>
      <c r="C11" s="3">
        <f>INDEX(LINEST(D$2:D$9,A$2:C$9,TRUE,TRUE),1,B11)</f>
        <v>5.95646552855966</v>
      </c>
      <c r="D11" s="3" t="s">
        <v>10</v>
      </c>
      <c r="E11" s="14">
        <f>SUM(F2:F9)</f>
        <v>14.3273474706453</v>
      </c>
    </row>
    <row r="12" ht="18" spans="1:4">
      <c r="A12" s="3" t="s">
        <v>1</v>
      </c>
      <c r="B12" s="3">
        <v>2</v>
      </c>
      <c r="C12" s="3">
        <f t="shared" ref="C12:C14" si="2">INDEX(LINEST(D$2:D$9,A$2:C$9,TRUE,TRUE),1,B12)</f>
        <v>-0.00134733897456874</v>
      </c>
      <c r="D12" s="3"/>
    </row>
    <row r="13" ht="18" spans="1:4">
      <c r="A13" s="3" t="s">
        <v>11</v>
      </c>
      <c r="B13" s="3">
        <v>3</v>
      </c>
      <c r="C13" s="3">
        <f t="shared" si="2"/>
        <v>3.97541435409683</v>
      </c>
      <c r="D13" s="3"/>
    </row>
    <row r="14" ht="18" spans="1:4">
      <c r="A14" s="3" t="s">
        <v>12</v>
      </c>
      <c r="B14" s="3">
        <v>4</v>
      </c>
      <c r="C14" s="3">
        <f t="shared" si="2"/>
        <v>-295.473324147756</v>
      </c>
      <c r="D14" s="3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0"/>
  <sheetViews>
    <sheetView workbookViewId="0">
      <pane ySplit="9" topLeftCell="A13" activePane="bottomLeft" state="frozen"/>
      <selection/>
      <selection pane="bottomLeft" activeCell="D17" sqref="D17"/>
    </sheetView>
  </sheetViews>
  <sheetFormatPr defaultColWidth="9" defaultRowHeight="14.4"/>
  <cols>
    <col min="1" max="1" width="13.8518518518519" customWidth="1"/>
    <col min="2" max="2" width="12.1388888888889" customWidth="1"/>
    <col min="3" max="3" width="16.8518518518519" customWidth="1"/>
    <col min="4" max="4" width="19.1388888888889" customWidth="1"/>
    <col min="5" max="5" width="13.287037037037" customWidth="1"/>
    <col min="6" max="6" width="12.1388888888889" customWidth="1"/>
    <col min="7" max="7" width="14.5740740740741" customWidth="1"/>
  </cols>
  <sheetData>
    <row r="1" ht="54" spans="1:7">
      <c r="A1" s="1" t="s">
        <v>0</v>
      </c>
      <c r="B1" s="2" t="s">
        <v>1</v>
      </c>
      <c r="C1" s="2" t="s">
        <v>2</v>
      </c>
      <c r="D1" s="1" t="s">
        <v>3</v>
      </c>
      <c r="E1" s="3" t="s">
        <v>13</v>
      </c>
      <c r="F1" s="3"/>
      <c r="G1" t="s">
        <v>14</v>
      </c>
    </row>
    <row r="2" ht="18.75" spans="1:6">
      <c r="A2" s="2">
        <v>91</v>
      </c>
      <c r="B2" s="2">
        <v>998</v>
      </c>
      <c r="C2" s="2">
        <v>4</v>
      </c>
      <c r="D2" s="2">
        <v>89.8</v>
      </c>
      <c r="E2" s="3">
        <f>H$17+H$18*A2+H$19*B2+H$20*C2</f>
        <v>88.770599892675</v>
      </c>
      <c r="F2" s="3"/>
    </row>
    <row r="3" ht="18" spans="1:8">
      <c r="A3" s="2">
        <v>87</v>
      </c>
      <c r="B3" s="2">
        <v>1256</v>
      </c>
      <c r="C3" s="2">
        <v>7</v>
      </c>
      <c r="D3" s="2">
        <v>90.2</v>
      </c>
      <c r="E3" s="3">
        <f t="shared" ref="E3:E9" si="0">H$17+H$18*A3+H$19*B3+H$20*C3</f>
        <v>90.3907256065284</v>
      </c>
      <c r="F3" s="3"/>
      <c r="G3" s="4" t="s">
        <v>15</v>
      </c>
      <c r="H3" s="4"/>
    </row>
    <row r="4" ht="18" spans="1:8">
      <c r="A4" s="2">
        <v>86</v>
      </c>
      <c r="B4" s="2">
        <v>791</v>
      </c>
      <c r="C4" s="2">
        <v>6</v>
      </c>
      <c r="D4" s="2">
        <v>81.1</v>
      </c>
      <c r="E4" s="3">
        <f t="shared" si="0"/>
        <v>81.085358347046</v>
      </c>
      <c r="F4" s="3"/>
      <c r="G4" s="5" t="s">
        <v>16</v>
      </c>
      <c r="H4" s="5">
        <v>0.996910307000095</v>
      </c>
    </row>
    <row r="5" ht="18" spans="1:8">
      <c r="A5" s="2">
        <v>88</v>
      </c>
      <c r="B5" s="2">
        <v>705</v>
      </c>
      <c r="C5" s="2">
        <v>5</v>
      </c>
      <c r="D5" s="2">
        <v>83</v>
      </c>
      <c r="E5" s="3">
        <f t="shared" si="0"/>
        <v>83.1955926784927</v>
      </c>
      <c r="F5" s="3"/>
      <c r="G5" s="5" t="s">
        <v>17</v>
      </c>
      <c r="H5" s="5">
        <v>0.993830160203024</v>
      </c>
    </row>
    <row r="6" ht="18" spans="1:8">
      <c r="A6" s="2">
        <v>92.8</v>
      </c>
      <c r="B6" s="2">
        <v>1089</v>
      </c>
      <c r="C6" s="2">
        <v>3</v>
      </c>
      <c r="D6" s="2">
        <v>90.9</v>
      </c>
      <c r="E6" s="3">
        <f t="shared" si="0"/>
        <v>89.8472723548039</v>
      </c>
      <c r="F6" s="3"/>
      <c r="G6" s="5" t="s">
        <v>18</v>
      </c>
      <c r="H6" s="5">
        <v>0.989202780355293</v>
      </c>
    </row>
    <row r="7" ht="18" spans="1:8">
      <c r="A7" s="2">
        <v>95.2</v>
      </c>
      <c r="B7" s="2">
        <v>1135</v>
      </c>
      <c r="C7" s="2">
        <v>6</v>
      </c>
      <c r="D7" s="2">
        <v>119</v>
      </c>
      <c r="E7" s="3">
        <f t="shared" si="0"/>
        <v>117.195685797485</v>
      </c>
      <c r="F7" s="3"/>
      <c r="G7" s="5" t="s">
        <v>19</v>
      </c>
      <c r="H7" s="5">
        <v>1.89257413795638</v>
      </c>
    </row>
    <row r="8" ht="18.75" spans="1:8">
      <c r="A8" s="2">
        <v>93.3</v>
      </c>
      <c r="B8" s="2">
        <v>1076</v>
      </c>
      <c r="C8" s="2">
        <v>4</v>
      </c>
      <c r="D8" s="2">
        <v>94.9</v>
      </c>
      <c r="E8" s="3">
        <f t="shared" si="0"/>
        <v>97.8089604670812</v>
      </c>
      <c r="F8" s="3"/>
      <c r="G8" s="6" t="s">
        <v>20</v>
      </c>
      <c r="H8" s="6">
        <v>8</v>
      </c>
    </row>
    <row r="9" ht="18" spans="1:6">
      <c r="A9" s="2">
        <v>97.7</v>
      </c>
      <c r="B9" s="2">
        <v>1198</v>
      </c>
      <c r="C9" s="2">
        <v>7</v>
      </c>
      <c r="D9" s="2">
        <v>132.4</v>
      </c>
      <c r="E9" s="3">
        <f t="shared" si="0"/>
        <v>133.005804855888</v>
      </c>
      <c r="F9" s="3"/>
    </row>
    <row r="10" ht="15.15" spans="7:7">
      <c r="G10" t="s">
        <v>21</v>
      </c>
    </row>
    <row r="11" spans="7:12">
      <c r="G11" s="7"/>
      <c r="H11" s="7" t="s">
        <v>22</v>
      </c>
      <c r="I11" s="7" t="s">
        <v>23</v>
      </c>
      <c r="J11" s="7" t="s">
        <v>24</v>
      </c>
      <c r="K11" s="7" t="s">
        <v>25</v>
      </c>
      <c r="L11" s="7" t="s">
        <v>26</v>
      </c>
    </row>
    <row r="12" spans="7:12">
      <c r="G12" s="5" t="s">
        <v>27</v>
      </c>
      <c r="H12" s="5">
        <v>3</v>
      </c>
      <c r="I12" s="5">
        <v>2307.83140252936</v>
      </c>
      <c r="J12" s="5">
        <v>769.277134176452</v>
      </c>
      <c r="K12" s="5">
        <v>214.771683524139</v>
      </c>
      <c r="L12" s="5">
        <v>7.12285188541325e-5</v>
      </c>
    </row>
    <row r="13" spans="7:12">
      <c r="G13" s="5" t="s">
        <v>28</v>
      </c>
      <c r="H13" s="5">
        <v>4</v>
      </c>
      <c r="I13" s="5">
        <v>14.3273474706453</v>
      </c>
      <c r="J13" s="5">
        <v>3.58183686766132</v>
      </c>
      <c r="K13" s="5"/>
      <c r="L13" s="5"/>
    </row>
    <row r="14" ht="15.15" spans="7:12">
      <c r="G14" s="6" t="s">
        <v>29</v>
      </c>
      <c r="H14" s="6">
        <v>7</v>
      </c>
      <c r="I14" s="6">
        <v>2322.15875</v>
      </c>
      <c r="J14" s="6"/>
      <c r="K14" s="6"/>
      <c r="L14" s="6"/>
    </row>
    <row r="15" ht="18.75" spans="1:5">
      <c r="A15" s="8" t="s">
        <v>30</v>
      </c>
      <c r="B15" s="9"/>
      <c r="C15" s="9"/>
      <c r="D15" s="9"/>
      <c r="E15" s="9"/>
    </row>
    <row r="16" ht="18" spans="1:15">
      <c r="A16" s="3"/>
      <c r="B16" s="3"/>
      <c r="C16" s="3"/>
      <c r="D16" s="3" t="s">
        <v>31</v>
      </c>
      <c r="G16" s="7"/>
      <c r="H16" s="7" t="s">
        <v>32</v>
      </c>
      <c r="I16" s="7" t="s">
        <v>19</v>
      </c>
      <c r="J16" s="7" t="s">
        <v>33</v>
      </c>
      <c r="K16" s="7" t="s">
        <v>34</v>
      </c>
      <c r="L16" s="7" t="s">
        <v>35</v>
      </c>
      <c r="M16" s="7" t="s">
        <v>36</v>
      </c>
      <c r="N16" s="7" t="s">
        <v>37</v>
      </c>
      <c r="O16" s="7" t="s">
        <v>38</v>
      </c>
    </row>
    <row r="17" ht="18" spans="1:15">
      <c r="A17" s="3">
        <v>93</v>
      </c>
      <c r="B17" s="3">
        <v>1212</v>
      </c>
      <c r="C17" s="3">
        <v>6</v>
      </c>
      <c r="D17" s="10">
        <f>H$17+H$18*A17+H$19*B17+H$20*C17</f>
        <v>108.34602911743</v>
      </c>
      <c r="G17" s="11" t="s">
        <v>39</v>
      </c>
      <c r="H17" s="11">
        <v>-295.473324147748</v>
      </c>
      <c r="I17" s="5">
        <v>17.6935576282062</v>
      </c>
      <c r="J17" s="5">
        <v>-16.6994863529717</v>
      </c>
      <c r="K17" s="5">
        <v>7.5340301158713e-5</v>
      </c>
      <c r="L17" s="5">
        <v>-344.598515618116</v>
      </c>
      <c r="M17" s="5">
        <v>-246.348132677379</v>
      </c>
      <c r="N17" s="5">
        <v>-344.598515618116</v>
      </c>
      <c r="O17" s="5">
        <v>-246.348132677379</v>
      </c>
    </row>
    <row r="18" ht="18" spans="7:15">
      <c r="G18" s="11" t="s">
        <v>40</v>
      </c>
      <c r="H18" s="11">
        <v>3.97541435409673</v>
      </c>
      <c r="I18" s="5">
        <v>0.211959096964194</v>
      </c>
      <c r="J18" s="5">
        <v>18.7555731791417</v>
      </c>
      <c r="K18" s="5">
        <v>4.75821196519534e-5</v>
      </c>
      <c r="L18" s="5">
        <v>3.38692155682835</v>
      </c>
      <c r="M18" s="5">
        <v>4.56390715136511</v>
      </c>
      <c r="N18" s="5">
        <v>3.38692155682835</v>
      </c>
      <c r="O18" s="5">
        <v>4.56390715136511</v>
      </c>
    </row>
    <row r="19" ht="18" spans="7:15">
      <c r="G19" s="11" t="s">
        <v>41</v>
      </c>
      <c r="H19" s="11">
        <v>-0.00134733897456755</v>
      </c>
      <c r="I19" s="5">
        <v>0.00471098472905612</v>
      </c>
      <c r="J19" s="5">
        <v>-0.285999435798957</v>
      </c>
      <c r="K19" s="5">
        <v>0.789078860059451</v>
      </c>
      <c r="L19" s="5">
        <v>-0.014427129466217</v>
      </c>
      <c r="M19" s="5">
        <v>0.0117324515170819</v>
      </c>
      <c r="N19" s="5">
        <v>-0.014427129466217</v>
      </c>
      <c r="O19" s="5">
        <v>0.0117324515170819</v>
      </c>
    </row>
    <row r="20" ht="18.75" spans="7:15">
      <c r="G20" s="12" t="s">
        <v>42</v>
      </c>
      <c r="H20" s="12">
        <v>5.95646552855957</v>
      </c>
      <c r="I20" s="6">
        <v>0.511829826987273</v>
      </c>
      <c r="J20" s="6">
        <v>11.6375897114485</v>
      </c>
      <c r="K20" s="6">
        <v>0.000311614681978183</v>
      </c>
      <c r="L20" s="6">
        <v>4.53539811072652</v>
      </c>
      <c r="M20" s="6">
        <v>7.37753294639262</v>
      </c>
      <c r="N20" s="6">
        <v>4.53539811072652</v>
      </c>
      <c r="O20" s="6">
        <v>7.37753294639262</v>
      </c>
    </row>
  </sheetData>
  <mergeCells count="1">
    <mergeCell ref="A15:E1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temp-sale</vt:lpstr>
      <vt:lpstr>usingLinest</vt:lpstr>
      <vt:lpstr>UsingDataAnalysisTool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Chí Vỹ Trần</cp:lastModifiedBy>
  <dcterms:created xsi:type="dcterms:W3CDTF">2015-06-05T18:17:00Z</dcterms:created>
  <dcterms:modified xsi:type="dcterms:W3CDTF">2025-11-18T08:49:15Z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4BB1CD951D2D432395EE0DC59EC8C609_12</vt:lpwstr>
  </property>
  <property fmtid="{D5CDD505-2E9C-101B-9397-08002B2CF9AE}" pid="3" name="KSOProductBuildVer">
    <vt:lpwstr>1033-12.2.0.23155</vt:lpwstr>
  </property>
</Properties>
</file>